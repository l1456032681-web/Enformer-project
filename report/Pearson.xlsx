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1456\Desktop\essay\biodisease\"/>
    </mc:Choice>
  </mc:AlternateContent>
  <xr:revisionPtr revIDLastSave="0" documentId="13_ncr:1_{68634CEA-FA1D-4C01-A611-F56C088C8C84}" xr6:coauthVersionLast="47" xr6:coauthVersionMax="47" xr10:uidLastSave="{00000000-0000-0000-0000-000000000000}"/>
  <bookViews>
    <workbookView xWindow="580" yWindow="3500" windowWidth="28800" windowHeight="15290" xr2:uid="{00000000-000D-0000-FFFF-FFFF00000000}"/>
  </bookViews>
  <sheets>
    <sheet name="Raw_Data" sheetId="1" r:id="rId1"/>
    <sheet name="Filtered_Data" sheetId="2" r:id="rId2"/>
    <sheet name="Overview" sheetId="3" r:id="rId3"/>
    <sheet name="Track_Summary" sheetId="4" r:id="rId4"/>
    <sheet name="Top_Genes" sheetId="5" r:id="rId5"/>
    <sheet name="Charts" sheetId="6" r:id="rId6"/>
  </sheets>
  <calcPr calcId="191029"/>
</workbook>
</file>

<file path=xl/calcChain.xml><?xml version="1.0" encoding="utf-8"?>
<calcChain xmlns="http://schemas.openxmlformats.org/spreadsheetml/2006/main">
  <c r="E12" i="3" l="1"/>
  <c r="E11" i="3"/>
  <c r="E10" i="3"/>
  <c r="H8" i="3"/>
  <c r="H7" i="3"/>
  <c r="H6" i="3"/>
  <c r="E6" i="3"/>
  <c r="H5" i="3"/>
  <c r="E5" i="3"/>
  <c r="E7" i="3" l="1"/>
</calcChain>
</file>

<file path=xl/sharedStrings.xml><?xml version="1.0" encoding="utf-8"?>
<sst xmlns="http://schemas.openxmlformats.org/spreadsheetml/2006/main" count="6019" uniqueCount="201">
  <si>
    <t>gene</t>
  </si>
  <si>
    <t>track_index</t>
  </si>
  <si>
    <t>assay</t>
  </si>
  <si>
    <t>mark</t>
  </si>
  <si>
    <t>context</t>
  </si>
  <si>
    <t>track_desc</t>
  </si>
  <si>
    <t>encode_accession</t>
  </si>
  <si>
    <t>encode_label</t>
  </si>
  <si>
    <t>chrom</t>
  </si>
  <si>
    <t>start</t>
  </si>
  <si>
    <t>end</t>
  </si>
  <si>
    <t>tss</t>
  </si>
  <si>
    <t>n_bins_used</t>
  </si>
  <si>
    <t>tss_window_kb</t>
  </si>
  <si>
    <t>pearson_r_tss_local</t>
  </si>
  <si>
    <t>x_kb_min</t>
  </si>
  <si>
    <t>x_kb_max</t>
  </si>
  <si>
    <t>TRIP4</t>
  </si>
  <si>
    <t>DNASE</t>
  </si>
  <si>
    <t>myotube originated from skeletal muscle myoblast</t>
  </si>
  <si>
    <t>DNASE:myotube originated from skeletal muscle myoblast</t>
  </si>
  <si>
    <t>ENCFF684FJC</t>
  </si>
  <si>
    <t>chr15</t>
  </si>
  <si>
    <t>PYROXD1</t>
  </si>
  <si>
    <t>chr12</t>
  </si>
  <si>
    <t>EPG5</t>
  </si>
  <si>
    <t>skeletal muscle myoblast</t>
  </si>
  <si>
    <t>DNASE:skeletal muscle myoblast</t>
  </si>
  <si>
    <t>ENCFF549TYD</t>
  </si>
  <si>
    <t>chr18</t>
  </si>
  <si>
    <t>LAMP2</t>
  </si>
  <si>
    <t>chrX</t>
  </si>
  <si>
    <t>MTM1</t>
  </si>
  <si>
    <t>CIAO1</t>
  </si>
  <si>
    <t>chr2</t>
  </si>
  <si>
    <t>PIEZO2</t>
  </si>
  <si>
    <t>LETM1</t>
  </si>
  <si>
    <t>chr4</t>
  </si>
  <si>
    <t>MICU1</t>
  </si>
  <si>
    <t>chr10</t>
  </si>
  <si>
    <t>DHX16</t>
  </si>
  <si>
    <t>chr6</t>
  </si>
  <si>
    <t>CPT2</t>
  </si>
  <si>
    <t>chr1</t>
  </si>
  <si>
    <t>ZC4H2</t>
  </si>
  <si>
    <t>CHIP</t>
  </si>
  <si>
    <t>H3K4me3</t>
  </si>
  <si>
    <t>myotube</t>
  </si>
  <si>
    <t>CHIP:H3K4me3:myotube</t>
  </si>
  <si>
    <t>ENCFF793JPB</t>
  </si>
  <si>
    <t>skeletal muscle myoblast male adult (22 years)</t>
  </si>
  <si>
    <t>CHIP:H3K4me3:skeletal muscle myoblast male adult (22 years)</t>
  </si>
  <si>
    <t>ENCFF363RJQ</t>
  </si>
  <si>
    <t>STAC3</t>
  </si>
  <si>
    <t>ASCC3</t>
  </si>
  <si>
    <t>MTMR14</t>
  </si>
  <si>
    <t>chr3</t>
  </si>
  <si>
    <t>FXR1</t>
  </si>
  <si>
    <t>H3K27ac</t>
  </si>
  <si>
    <t>CHIP:H3K27ac:skeletal muscle myoblast male adult (22 years)</t>
  </si>
  <si>
    <t>ENCFF743ROG</t>
  </si>
  <si>
    <t>CHIP:H3K27ac:myotube</t>
  </si>
  <si>
    <t>ENCFF040VCY</t>
  </si>
  <si>
    <t>TNNC2</t>
  </si>
  <si>
    <t>chr20</t>
  </si>
  <si>
    <t>CNTN1</t>
  </si>
  <si>
    <t>VWA1</t>
  </si>
  <si>
    <t>KLHL41</t>
  </si>
  <si>
    <t>GBE1</t>
  </si>
  <si>
    <t>RYR3</t>
  </si>
  <si>
    <t>KY</t>
  </si>
  <si>
    <t>GFER</t>
  </si>
  <si>
    <t>chr16</t>
  </si>
  <si>
    <t>MYO18B</t>
  </si>
  <si>
    <t>chr22</t>
  </si>
  <si>
    <t>DMPK</t>
  </si>
  <si>
    <t>chr19</t>
  </si>
  <si>
    <t>RFC4</t>
  </si>
  <si>
    <t>DNM2</t>
  </si>
  <si>
    <t>CAV3</t>
  </si>
  <si>
    <t>BIN1</t>
  </si>
  <si>
    <t>DNAJB4</t>
  </si>
  <si>
    <t>FKBP14</t>
  </si>
  <si>
    <t>chr7</t>
  </si>
  <si>
    <t>DNAJB6</t>
  </si>
  <si>
    <t>ORAI1</t>
  </si>
  <si>
    <t>COL6A3</t>
  </si>
  <si>
    <t>MYOD1</t>
  </si>
  <si>
    <t>chr11</t>
  </si>
  <si>
    <t>LMNA</t>
  </si>
  <si>
    <t>COL6A1</t>
  </si>
  <si>
    <t>chr21</t>
  </si>
  <si>
    <t>CHCHD10</t>
  </si>
  <si>
    <t>NEFL</t>
  </si>
  <si>
    <t>chr8</t>
  </si>
  <si>
    <t>ACTA1</t>
  </si>
  <si>
    <t>MEGF10</t>
  </si>
  <si>
    <t>chr5</t>
  </si>
  <si>
    <t>PPA2</t>
  </si>
  <si>
    <t>SLC25A4</t>
  </si>
  <si>
    <t>MYH2</t>
  </si>
  <si>
    <t>chr17</t>
  </si>
  <si>
    <t>COL25A1</t>
  </si>
  <si>
    <t>TPM2</t>
  </si>
  <si>
    <t>chr9</t>
  </si>
  <si>
    <t>ATP2A1</t>
  </si>
  <si>
    <t>COL13A1</t>
  </si>
  <si>
    <t>KLHL40</t>
  </si>
  <si>
    <t>MYF5</t>
  </si>
  <si>
    <t>DOK7</t>
  </si>
  <si>
    <t>COL12A1</t>
  </si>
  <si>
    <t>CFL2</t>
  </si>
  <si>
    <t>chr14</t>
  </si>
  <si>
    <t>COX6A2</t>
  </si>
  <si>
    <t>SPEG</t>
  </si>
  <si>
    <t>MYH7</t>
  </si>
  <si>
    <t>RYR1</t>
  </si>
  <si>
    <t>BAG3</t>
  </si>
  <si>
    <t>SLC25A42</t>
  </si>
  <si>
    <t>TNNT1</t>
  </si>
  <si>
    <t>TNNI2</t>
  </si>
  <si>
    <t>HACD1</t>
  </si>
  <si>
    <t>CCDC78</t>
  </si>
  <si>
    <t>MYPN</t>
  </si>
  <si>
    <t>FLNC</t>
  </si>
  <si>
    <t>DES</t>
  </si>
  <si>
    <t>CRYAB</t>
  </si>
  <si>
    <t>PAX7</t>
  </si>
  <si>
    <t>MAP3K20</t>
  </si>
  <si>
    <t>LMOD3</t>
  </si>
  <si>
    <t>ADSS1</t>
  </si>
  <si>
    <t>TPM3</t>
  </si>
  <si>
    <t>VMA21</t>
  </si>
  <si>
    <t>MYMK</t>
  </si>
  <si>
    <t>SPTBN4</t>
  </si>
  <si>
    <t>TRDN</t>
  </si>
  <si>
    <t>SELENON</t>
  </si>
  <si>
    <t>NEB</t>
  </si>
  <si>
    <t>SVIL</t>
  </si>
  <si>
    <t>SCN4A</t>
  </si>
  <si>
    <t>UNC45B</t>
  </si>
  <si>
    <t>MYH3</t>
  </si>
  <si>
    <t>ACTN2</t>
  </si>
  <si>
    <t>HNRNPA2B1</t>
  </si>
  <si>
    <t>MLIP</t>
  </si>
  <si>
    <t>CACNA1S</t>
  </si>
  <si>
    <t>COL9A3</t>
  </si>
  <si>
    <t>ECEL1</t>
  </si>
  <si>
    <t>TTN</t>
  </si>
  <si>
    <t>CASQ1</t>
  </si>
  <si>
    <t>STIM1</t>
  </si>
  <si>
    <t>KBTBD13</t>
  </si>
  <si>
    <t>strength_level</t>
  </si>
  <si>
    <t>Very high (&gt;=0.90)</t>
  </si>
  <si>
    <t>High (0.70-0.89)</t>
  </si>
  <si>
    <t>Moderate (0.50-0.69)</t>
  </si>
  <si>
    <t>Low (0.35-0.49)</t>
  </si>
  <si>
    <t>Enformer muscle-focused Pearson analysis</t>
  </si>
  <si>
    <t>Based on uploaded CSV filtered at Pearson &gt; 0.35</t>
  </si>
  <si>
    <t>Input / controls</t>
  </si>
  <si>
    <t>Key metrics</t>
  </si>
  <si>
    <t>Pearson bands</t>
  </si>
  <si>
    <t>Pearson threshold</t>
  </si>
  <si>
    <t>Total comparisons</t>
  </si>
  <si>
    <t>0.35-0.50</t>
  </si>
  <si>
    <t>Pearson window</t>
  </si>
  <si>
    <t>+/-4 kb around TSS (from project report)</t>
  </si>
  <si>
    <t>Retained comparisons</t>
  </si>
  <si>
    <t>0.50-0.70</t>
  </si>
  <si>
    <t>Retention rate</t>
  </si>
  <si>
    <t>0.70-0.90</t>
  </si>
  <si>
    <t>Genes retained</t>
  </si>
  <si>
    <t>&gt;=0.90</t>
  </si>
  <si>
    <t>Tracks retained</t>
  </si>
  <si>
    <t>Mean Pearson</t>
  </si>
  <si>
    <t>Median Pearson</t>
  </si>
  <si>
    <t>Max Pearson</t>
  </si>
  <si>
    <t>Assay summary</t>
  </si>
  <si>
    <t>CHIP mark summary</t>
  </si>
  <si>
    <t>Assay</t>
  </si>
  <si>
    <t>Entries</t>
  </si>
  <si>
    <t>Genes</t>
  </si>
  <si>
    <t>Mark</t>
  </si>
  <si>
    <t>Report-ready observations</t>
  </si>
  <si>
    <t>1. After filtering at Pearson &gt; 0.30, 418 of 600 comparisons were retained (69.7%).</t>
  </si>
  <si>
    <t>2. Retained results span 94 genes and 6 tracks; mean Pearson is 0.651.</t>
  </si>
  <si>
    <t>3. DNASE tracks show stronger TSS-local agreement than CHIP overall (0.708 vs 0.630).</t>
  </si>
  <si>
    <t>4. Within CHIP, H3K4me3 exceeds H3K27ac (0.666 vs 0.593), consistent with stronger promoter-proximal signal near TSS.</t>
  </si>
  <si>
    <t>5. Genes such as MICU1, DHX16, CPT2, PYROXD1, LAMP2 show the strongest multi-track consistency and are good candidates for focused discussion.</t>
  </si>
  <si>
    <t>Track-level summary (Pearson &gt; 0.35)</t>
  </si>
  <si>
    <t>n_entries</t>
  </si>
  <si>
    <t>n_genes</t>
  </si>
  <si>
    <t>mean_pearson</t>
  </si>
  <si>
    <t>median_pearson</t>
  </si>
  <si>
    <t>max_pearson</t>
  </si>
  <si>
    <t>Top genes by mean Pearson (retained in &gt;=4 tracks)</t>
  </si>
  <si>
    <t>n_tracks</t>
  </si>
  <si>
    <t>Charts</t>
  </si>
  <si>
    <t>1. Pearson distribution</t>
  </si>
  <si>
    <t>3. Top genes by mean Pearson</t>
  </si>
  <si>
    <t>2. Pearson by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</si>
</sst>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"/>
    <numFmt numFmtId="178" formatCode="0.0%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1F4E78"/>
      <name val="Calibri"/>
    </font>
    <font>
      <sz val="11"/>
      <color rgb="FF666666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666666"/>
      <name val="Calibri"/>
    </font>
    <font>
      <b/>
      <sz val="11"/>
      <color rgb="FF000000"/>
      <name val="Calibri"/>
    </font>
    <font>
      <b/>
      <sz val="11"/>
      <color rgb="FF1F4E78"/>
      <name val="Calibri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DF4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18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horizontal="right" vertical="center"/>
    </xf>
    <xf numFmtId="0" fontId="0" fillId="0" borderId="0" xfId="1" applyFont="1" applyAlignment="1">
      <alignment horizontal="left" vertical="center"/>
    </xf>
    <xf numFmtId="177" fontId="0" fillId="0" borderId="0" xfId="1" applyNumberFormat="1" applyFont="1" applyAlignment="1">
      <alignment horizontal="right" vertical="center"/>
    </xf>
    <xf numFmtId="0" fontId="2" fillId="0" borderId="0" xfId="1" applyFont="1"/>
    <xf numFmtId="0" fontId="3" fillId="0" borderId="0" xfId="1" applyFont="1"/>
    <xf numFmtId="0" fontId="4" fillId="3" borderId="0" xfId="1" applyFont="1" applyFill="1" applyAlignment="1">
      <alignment horizontal="left" vertical="center"/>
    </xf>
    <xf numFmtId="2" fontId="5" fillId="0" borderId="0" xfId="1" applyNumberFormat="1" applyFont="1" applyAlignment="1">
      <alignment horizontal="right" vertical="center"/>
    </xf>
    <xf numFmtId="0" fontId="7" fillId="0" borderId="0" xfId="1" applyFont="1" applyAlignment="1">
      <alignment horizontal="left" vertical="center"/>
    </xf>
    <xf numFmtId="0" fontId="0" fillId="4" borderId="0" xfId="1" applyFont="1" applyFill="1" applyAlignment="1">
      <alignment horizontal="left" vertical="center"/>
    </xf>
    <xf numFmtId="0" fontId="6" fillId="0" borderId="0" xfId="1" applyFont="1" applyAlignment="1">
      <alignment horizontal="left" vertical="center"/>
    </xf>
    <xf numFmtId="178" fontId="0" fillId="4" borderId="0" xfId="1" applyNumberFormat="1" applyFont="1" applyFill="1" applyAlignment="1">
      <alignment horizontal="left" vertical="center"/>
    </xf>
    <xf numFmtId="177" fontId="0" fillId="4" borderId="0" xfId="1" applyNumberFormat="1" applyFont="1" applyFill="1" applyAlignment="1">
      <alignment horizontal="left" vertical="center"/>
    </xf>
    <xf numFmtId="0" fontId="1" fillId="2" borderId="0" xfId="1" applyFont="1" applyFill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8" fillId="0" borderId="0" xfId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858000" cy="419100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7239000" cy="447675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</xdr:row>
      <xdr:rowOff>0</xdr:rowOff>
    </xdr:from>
    <xdr:ext cx="5905500" cy="4572000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M601">
  <autoFilter ref="A1:M601" xr:uid="{00000000-0009-0000-0100-000001000000}"/>
  <tableColumns count="13">
    <tableColumn id="1" xr3:uid="{00000000-0010-0000-0000-000001000000}" name="gene"/>
    <tableColumn id="2" xr3:uid="{00000000-0010-0000-0000-000002000000}" name="track_index"/>
    <tableColumn id="3" xr3:uid="{00000000-0010-0000-0000-000003000000}" name="assay"/>
    <tableColumn id="4" xr3:uid="{00000000-0010-0000-0000-000004000000}" name="mark"/>
    <tableColumn id="5" xr3:uid="{00000000-0010-0000-0000-000005000000}" name="context"/>
    <tableColumn id="6" xr3:uid="{00000000-0010-0000-0000-000006000000}" name="track_desc"/>
    <tableColumn id="7" xr3:uid="{00000000-0010-0000-0000-000007000000}" name="encode_accession"/>
    <tableColumn id="8" xr3:uid="{00000000-0010-0000-0000-000008000000}" name="encode_label"/>
    <tableColumn id="9" xr3:uid="{00000000-0010-0000-0000-000009000000}" name="chrom"/>
    <tableColumn id="10" xr3:uid="{00000000-0010-0000-0000-00000A000000}" name="start"/>
    <tableColumn id="11" xr3:uid="{00000000-0010-0000-0000-00000B000000}" name="end"/>
    <tableColumn id="12" xr3:uid="{00000000-0010-0000-0000-00000C000000}" name="tss"/>
    <tableColumn id="16" xr3:uid="{00000000-0010-0000-0000-000010000000}" name="pearson_r_tss_lo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lteredDataTable" displayName="FilteredDataTable" ref="A1:M419">
  <autoFilter ref="A1:M419" xr:uid="{00000000-0009-0000-0100-000002000000}"/>
  <tableColumns count="13">
    <tableColumn id="1" xr3:uid="{00000000-0010-0000-0100-000001000000}" name="gene"/>
    <tableColumn id="2" xr3:uid="{00000000-0010-0000-0100-000002000000}" name="track_index"/>
    <tableColumn id="3" xr3:uid="{00000000-0010-0000-0100-000003000000}" name="assay"/>
    <tableColumn id="4" xr3:uid="{00000000-0010-0000-0100-000004000000}" name="mark"/>
    <tableColumn id="5" xr3:uid="{00000000-0010-0000-0100-000005000000}" name="context"/>
    <tableColumn id="6" xr3:uid="{00000000-0010-0000-0100-000006000000}" name="track_desc"/>
    <tableColumn id="7" xr3:uid="{00000000-0010-0000-0100-000007000000}" name="encode_accession"/>
    <tableColumn id="8" xr3:uid="{00000000-0010-0000-0100-000008000000}" name="pearson_r_tss_local"/>
    <tableColumn id="9" xr3:uid="{00000000-0010-0000-0100-000009000000}" name="strength_level"/>
    <tableColumn id="10" xr3:uid="{00000000-0010-0000-0100-00000A000000}" name="n_bins_used"/>
    <tableColumn id="11" xr3:uid="{00000000-0010-0000-0100-00000B000000}" name="tss_window_kb"/>
    <tableColumn id="12" xr3:uid="{00000000-0010-0000-0100-00000C000000}" name="x_kb_min"/>
    <tableColumn id="13" xr3:uid="{00000000-0010-0000-0100-00000D000000}" name="x_kb_ma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ckSummaryTable" displayName="TrackSummaryTable" ref="A3:I9">
  <autoFilter ref="A3:I9" xr:uid="{00000000-0009-0000-0100-000003000000}"/>
  <tableColumns count="9">
    <tableColumn id="1" xr3:uid="{00000000-0010-0000-0200-000001000000}" name="track_index"/>
    <tableColumn id="2" xr3:uid="{00000000-0010-0000-0200-000002000000}" name="track_desc"/>
    <tableColumn id="3" xr3:uid="{00000000-0010-0000-0200-000003000000}" name="assay"/>
    <tableColumn id="4" xr3:uid="{00000000-0010-0000-0200-000004000000}" name="mark"/>
    <tableColumn id="5" xr3:uid="{00000000-0010-0000-0200-000005000000}" name="n_entries"/>
    <tableColumn id="6" xr3:uid="{00000000-0010-0000-0200-000006000000}" name="n_genes"/>
    <tableColumn id="7" xr3:uid="{00000000-0010-0000-0200-000007000000}" name="mean_pearson"/>
    <tableColumn id="8" xr3:uid="{00000000-0010-0000-0200-000008000000}" name="median_pearson"/>
    <tableColumn id="9" xr3:uid="{00000000-0010-0000-0200-000009000000}" name="max_pear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opGenesTable" displayName="TopGenesTable" ref="A3:D23">
  <autoFilter ref="A3:D23" xr:uid="{00000000-0009-0000-0100-000004000000}"/>
  <tableColumns count="4">
    <tableColumn id="1" xr3:uid="{00000000-0010-0000-0300-000001000000}" name="gene"/>
    <tableColumn id="2" xr3:uid="{00000000-0010-0000-0300-000002000000}" name="n_tracks"/>
    <tableColumn id="3" xr3:uid="{00000000-0010-0000-0300-000003000000}" name="mean_pearson"/>
    <tableColumn id="4" xr3:uid="{00000000-0010-0000-0300-000004000000}" name="max_pea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9"/>
  <sheetViews>
    <sheetView showGridLines="0" tabSelected="1" topLeftCell="B1" workbookViewId="0">
      <selection activeCell="P18" sqref="P18"/>
    </sheetView>
  </sheetViews>
  <sheetFormatPr defaultRowHeight="14.5" x14ac:dyDescent="0.35"/>
  <cols>
    <col min="1" max="1" width="12" customWidth="1"/>
    <col min="2" max="2" width="11" customWidth="1"/>
    <col min="3" max="3" width="10" customWidth="1"/>
    <col min="4" max="4" width="11" customWidth="1"/>
    <col min="5" max="5" width="28" customWidth="1"/>
    <col min="6" max="6" width="48" customWidth="1"/>
    <col min="7" max="7" width="15" customWidth="1"/>
    <col min="8" max="8" width="16" customWidth="1"/>
    <col min="9" max="9" width="10" customWidth="1"/>
    <col min="10" max="12" width="13" customWidth="1"/>
    <col min="13" max="14" width="11" customWidth="1"/>
    <col min="15" max="16" width="12" customWidth="1"/>
    <col min="17" max="18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</row>
    <row r="2" spans="1:13" x14ac:dyDescent="0.35">
      <c r="A2" t="s">
        <v>17</v>
      </c>
      <c r="B2">
        <v>117</v>
      </c>
      <c r="C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>
        <v>64289443</v>
      </c>
      <c r="K2">
        <v>64486051</v>
      </c>
      <c r="L2">
        <v>64387747</v>
      </c>
      <c r="M2">
        <v>0.99535134977539996</v>
      </c>
    </row>
    <row r="3" spans="1:13" x14ac:dyDescent="0.35">
      <c r="A3" t="s">
        <v>23</v>
      </c>
      <c r="B3">
        <v>117</v>
      </c>
      <c r="C3" t="s">
        <v>18</v>
      </c>
      <c r="E3" t="s">
        <v>19</v>
      </c>
      <c r="F3" t="s">
        <v>20</v>
      </c>
      <c r="G3" t="s">
        <v>21</v>
      </c>
      <c r="H3" t="s">
        <v>21</v>
      </c>
      <c r="I3" t="s">
        <v>24</v>
      </c>
      <c r="J3">
        <v>21339310</v>
      </c>
      <c r="K3">
        <v>21535918</v>
      </c>
      <c r="L3">
        <v>21437614</v>
      </c>
      <c r="M3">
        <v>0.99376090966297603</v>
      </c>
    </row>
    <row r="4" spans="1:13" x14ac:dyDescent="0.35">
      <c r="A4" t="s">
        <v>25</v>
      </c>
      <c r="B4">
        <v>116</v>
      </c>
      <c r="C4" t="s">
        <v>18</v>
      </c>
      <c r="E4" t="s">
        <v>26</v>
      </c>
      <c r="F4" t="s">
        <v>27</v>
      </c>
      <c r="G4" t="s">
        <v>28</v>
      </c>
      <c r="H4" t="s">
        <v>28</v>
      </c>
      <c r="I4" t="s">
        <v>29</v>
      </c>
      <c r="J4">
        <v>45869035</v>
      </c>
      <c r="K4">
        <v>46065643</v>
      </c>
      <c r="L4">
        <v>45967339</v>
      </c>
      <c r="M4">
        <v>0.98962209976548565</v>
      </c>
    </row>
    <row r="5" spans="1:13" x14ac:dyDescent="0.35">
      <c r="A5" t="s">
        <v>30</v>
      </c>
      <c r="B5">
        <v>117</v>
      </c>
      <c r="C5" t="s">
        <v>18</v>
      </c>
      <c r="E5" t="s">
        <v>19</v>
      </c>
      <c r="F5" t="s">
        <v>20</v>
      </c>
      <c r="G5" t="s">
        <v>21</v>
      </c>
      <c r="H5" t="s">
        <v>21</v>
      </c>
      <c r="I5" t="s">
        <v>31</v>
      </c>
      <c r="J5">
        <v>120371060</v>
      </c>
      <c r="K5">
        <v>120567668</v>
      </c>
      <c r="L5">
        <v>120469364</v>
      </c>
      <c r="M5">
        <v>0.98737671167477759</v>
      </c>
    </row>
    <row r="6" spans="1:13" x14ac:dyDescent="0.35">
      <c r="A6" t="s">
        <v>32</v>
      </c>
      <c r="B6">
        <v>116</v>
      </c>
      <c r="C6" t="s">
        <v>18</v>
      </c>
      <c r="E6" t="s">
        <v>26</v>
      </c>
      <c r="F6" t="s">
        <v>27</v>
      </c>
      <c r="G6" t="s">
        <v>28</v>
      </c>
      <c r="H6" t="s">
        <v>28</v>
      </c>
      <c r="I6" t="s">
        <v>31</v>
      </c>
      <c r="J6">
        <v>150470112</v>
      </c>
      <c r="K6">
        <v>150666720</v>
      </c>
      <c r="L6">
        <v>150568416</v>
      </c>
      <c r="M6">
        <v>0.98714460987496921</v>
      </c>
    </row>
    <row r="7" spans="1:13" x14ac:dyDescent="0.35">
      <c r="A7" t="s">
        <v>25</v>
      </c>
      <c r="B7">
        <v>117</v>
      </c>
      <c r="C7" t="s">
        <v>18</v>
      </c>
      <c r="E7" t="s">
        <v>19</v>
      </c>
      <c r="F7" t="s">
        <v>20</v>
      </c>
      <c r="G7" t="s">
        <v>21</v>
      </c>
      <c r="H7" t="s">
        <v>21</v>
      </c>
      <c r="I7" t="s">
        <v>29</v>
      </c>
      <c r="J7">
        <v>45869035</v>
      </c>
      <c r="K7">
        <v>46065643</v>
      </c>
      <c r="L7">
        <v>45967339</v>
      </c>
      <c r="M7">
        <v>0.98444430615121759</v>
      </c>
    </row>
    <row r="8" spans="1:13" x14ac:dyDescent="0.35">
      <c r="A8" t="s">
        <v>17</v>
      </c>
      <c r="B8">
        <v>116</v>
      </c>
      <c r="C8" t="s">
        <v>18</v>
      </c>
      <c r="E8" t="s">
        <v>26</v>
      </c>
      <c r="F8" t="s">
        <v>27</v>
      </c>
      <c r="G8" t="s">
        <v>28</v>
      </c>
      <c r="H8" t="s">
        <v>28</v>
      </c>
      <c r="I8" t="s">
        <v>22</v>
      </c>
      <c r="J8">
        <v>64289443</v>
      </c>
      <c r="K8">
        <v>64486051</v>
      </c>
      <c r="L8">
        <v>64387747</v>
      </c>
      <c r="M8">
        <v>0.98269346458259199</v>
      </c>
    </row>
    <row r="9" spans="1:13" x14ac:dyDescent="0.35">
      <c r="A9" t="s">
        <v>33</v>
      </c>
      <c r="B9">
        <v>117</v>
      </c>
      <c r="C9" t="s">
        <v>18</v>
      </c>
      <c r="E9" t="s">
        <v>19</v>
      </c>
      <c r="F9" t="s">
        <v>20</v>
      </c>
      <c r="G9" t="s">
        <v>21</v>
      </c>
      <c r="H9" t="s">
        <v>21</v>
      </c>
      <c r="I9" t="s">
        <v>34</v>
      </c>
      <c r="J9">
        <v>96167854</v>
      </c>
      <c r="K9">
        <v>96364462</v>
      </c>
      <c r="L9">
        <v>96266158</v>
      </c>
      <c r="M9">
        <v>0.97711542123591444</v>
      </c>
    </row>
    <row r="10" spans="1:13" x14ac:dyDescent="0.35">
      <c r="A10" t="s">
        <v>35</v>
      </c>
      <c r="B10">
        <v>116</v>
      </c>
      <c r="C10" t="s">
        <v>18</v>
      </c>
      <c r="E10" t="s">
        <v>26</v>
      </c>
      <c r="F10" t="s">
        <v>27</v>
      </c>
      <c r="G10" t="s">
        <v>28</v>
      </c>
      <c r="H10" t="s">
        <v>28</v>
      </c>
      <c r="I10" t="s">
        <v>29</v>
      </c>
      <c r="J10">
        <v>11051264</v>
      </c>
      <c r="K10">
        <v>11247872</v>
      </c>
      <c r="L10">
        <v>11149568</v>
      </c>
      <c r="M10">
        <v>0.976543128551701</v>
      </c>
    </row>
    <row r="11" spans="1:13" x14ac:dyDescent="0.35">
      <c r="A11" t="s">
        <v>36</v>
      </c>
      <c r="B11">
        <v>117</v>
      </c>
      <c r="C11" t="s">
        <v>18</v>
      </c>
      <c r="E11" t="s">
        <v>19</v>
      </c>
      <c r="F11" t="s">
        <v>20</v>
      </c>
      <c r="G11" t="s">
        <v>21</v>
      </c>
      <c r="H11" t="s">
        <v>21</v>
      </c>
      <c r="I11" t="s">
        <v>37</v>
      </c>
      <c r="J11">
        <v>1757927</v>
      </c>
      <c r="K11">
        <v>1954535</v>
      </c>
      <c r="L11">
        <v>1856231</v>
      </c>
      <c r="M11">
        <v>0.97338570235250022</v>
      </c>
    </row>
    <row r="12" spans="1:13" x14ac:dyDescent="0.35">
      <c r="A12" t="s">
        <v>38</v>
      </c>
      <c r="B12">
        <v>116</v>
      </c>
      <c r="C12" t="s">
        <v>18</v>
      </c>
      <c r="E12" t="s">
        <v>26</v>
      </c>
      <c r="F12" t="s">
        <v>27</v>
      </c>
      <c r="G12" t="s">
        <v>28</v>
      </c>
      <c r="H12" t="s">
        <v>28</v>
      </c>
      <c r="I12" t="s">
        <v>39</v>
      </c>
      <c r="J12">
        <v>72527829</v>
      </c>
      <c r="K12">
        <v>72724437</v>
      </c>
      <c r="L12">
        <v>72626133</v>
      </c>
      <c r="M12">
        <v>0.96674585879111241</v>
      </c>
    </row>
    <row r="13" spans="1:13" x14ac:dyDescent="0.35">
      <c r="A13" t="s">
        <v>40</v>
      </c>
      <c r="B13">
        <v>116</v>
      </c>
      <c r="C13" t="s">
        <v>18</v>
      </c>
      <c r="E13" t="s">
        <v>26</v>
      </c>
      <c r="F13" t="s">
        <v>27</v>
      </c>
      <c r="G13" t="s">
        <v>28</v>
      </c>
      <c r="H13" t="s">
        <v>28</v>
      </c>
      <c r="I13" t="s">
        <v>41</v>
      </c>
      <c r="J13">
        <v>30574708</v>
      </c>
      <c r="K13">
        <v>30771316</v>
      </c>
      <c r="L13">
        <v>30673012</v>
      </c>
      <c r="M13">
        <v>0.96579778523217885</v>
      </c>
    </row>
    <row r="14" spans="1:13" x14ac:dyDescent="0.35">
      <c r="A14" t="s">
        <v>42</v>
      </c>
      <c r="B14">
        <v>116</v>
      </c>
      <c r="C14" t="s">
        <v>18</v>
      </c>
      <c r="E14" t="s">
        <v>26</v>
      </c>
      <c r="F14" t="s">
        <v>27</v>
      </c>
      <c r="G14" t="s">
        <v>28</v>
      </c>
      <c r="H14" t="s">
        <v>28</v>
      </c>
      <c r="I14" t="s">
        <v>43</v>
      </c>
      <c r="J14">
        <v>53098487</v>
      </c>
      <c r="K14">
        <v>53295095</v>
      </c>
      <c r="L14">
        <v>53196791</v>
      </c>
      <c r="M14">
        <v>0.96351329256061224</v>
      </c>
    </row>
    <row r="15" spans="1:13" x14ac:dyDescent="0.35">
      <c r="A15" t="s">
        <v>33</v>
      </c>
      <c r="B15">
        <v>116</v>
      </c>
      <c r="C15" t="s">
        <v>18</v>
      </c>
      <c r="E15" t="s">
        <v>26</v>
      </c>
      <c r="F15" t="s">
        <v>27</v>
      </c>
      <c r="G15" t="s">
        <v>28</v>
      </c>
      <c r="H15" t="s">
        <v>28</v>
      </c>
      <c r="I15" t="s">
        <v>34</v>
      </c>
      <c r="J15">
        <v>96167854</v>
      </c>
      <c r="K15">
        <v>96364462</v>
      </c>
      <c r="L15">
        <v>96266158</v>
      </c>
      <c r="M15">
        <v>0.96037383097520601</v>
      </c>
    </row>
    <row r="16" spans="1:13" x14ac:dyDescent="0.35">
      <c r="A16" t="s">
        <v>44</v>
      </c>
      <c r="B16">
        <v>741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t="s">
        <v>49</v>
      </c>
      <c r="I16" t="s">
        <v>31</v>
      </c>
      <c r="J16">
        <v>64936408</v>
      </c>
      <c r="K16">
        <v>65133016</v>
      </c>
      <c r="L16">
        <v>65034712</v>
      </c>
      <c r="M16">
        <v>0.95901727680344195</v>
      </c>
    </row>
    <row r="17" spans="1:13" x14ac:dyDescent="0.35">
      <c r="A17" t="s">
        <v>30</v>
      </c>
      <c r="B17">
        <v>116</v>
      </c>
      <c r="C17" t="s">
        <v>18</v>
      </c>
      <c r="E17" t="s">
        <v>26</v>
      </c>
      <c r="F17" t="s">
        <v>27</v>
      </c>
      <c r="G17" t="s">
        <v>28</v>
      </c>
      <c r="H17" t="s">
        <v>28</v>
      </c>
      <c r="I17" t="s">
        <v>31</v>
      </c>
      <c r="J17">
        <v>120371060</v>
      </c>
      <c r="K17">
        <v>120567668</v>
      </c>
      <c r="L17">
        <v>120469364</v>
      </c>
      <c r="M17">
        <v>0.95882535509592559</v>
      </c>
    </row>
    <row r="18" spans="1:13" x14ac:dyDescent="0.35">
      <c r="A18" t="s">
        <v>32</v>
      </c>
      <c r="B18">
        <v>117</v>
      </c>
      <c r="C18" t="s">
        <v>18</v>
      </c>
      <c r="E18" t="s">
        <v>19</v>
      </c>
      <c r="F18" t="s">
        <v>20</v>
      </c>
      <c r="G18" t="s">
        <v>21</v>
      </c>
      <c r="H18" t="s">
        <v>21</v>
      </c>
      <c r="I18" t="s">
        <v>31</v>
      </c>
      <c r="J18">
        <v>150470112</v>
      </c>
      <c r="K18">
        <v>150666720</v>
      </c>
      <c r="L18">
        <v>150568416</v>
      </c>
      <c r="M18">
        <v>0.95800222055738682</v>
      </c>
    </row>
    <row r="19" spans="1:13" x14ac:dyDescent="0.35">
      <c r="A19" t="s">
        <v>36</v>
      </c>
      <c r="B19">
        <v>116</v>
      </c>
      <c r="C19" t="s">
        <v>18</v>
      </c>
      <c r="E19" t="s">
        <v>26</v>
      </c>
      <c r="F19" t="s">
        <v>27</v>
      </c>
      <c r="G19" t="s">
        <v>28</v>
      </c>
      <c r="H19" t="s">
        <v>28</v>
      </c>
      <c r="I19" t="s">
        <v>37</v>
      </c>
      <c r="J19">
        <v>1757927</v>
      </c>
      <c r="K19">
        <v>1954535</v>
      </c>
      <c r="L19">
        <v>1856231</v>
      </c>
      <c r="M19">
        <v>0.9566648927490462</v>
      </c>
    </row>
    <row r="20" spans="1:13" x14ac:dyDescent="0.35">
      <c r="A20" t="s">
        <v>44</v>
      </c>
      <c r="B20">
        <v>729</v>
      </c>
      <c r="C20" t="s">
        <v>45</v>
      </c>
      <c r="D20" t="s">
        <v>46</v>
      </c>
      <c r="E20" t="s">
        <v>50</v>
      </c>
      <c r="F20" t="s">
        <v>51</v>
      </c>
      <c r="G20" t="s">
        <v>52</v>
      </c>
      <c r="H20" t="s">
        <v>52</v>
      </c>
      <c r="I20" t="s">
        <v>31</v>
      </c>
      <c r="J20">
        <v>64936408</v>
      </c>
      <c r="K20">
        <v>65133016</v>
      </c>
      <c r="L20">
        <v>65034712</v>
      </c>
      <c r="M20">
        <v>0.9533057133647902</v>
      </c>
    </row>
    <row r="21" spans="1:13" x14ac:dyDescent="0.35">
      <c r="A21" t="s">
        <v>40</v>
      </c>
      <c r="B21">
        <v>117</v>
      </c>
      <c r="C21" t="s">
        <v>18</v>
      </c>
      <c r="E21" t="s">
        <v>19</v>
      </c>
      <c r="F21" t="s">
        <v>20</v>
      </c>
      <c r="G21" t="s">
        <v>21</v>
      </c>
      <c r="H21" t="s">
        <v>21</v>
      </c>
      <c r="I21" t="s">
        <v>41</v>
      </c>
      <c r="J21">
        <v>30574708</v>
      </c>
      <c r="K21">
        <v>30771316</v>
      </c>
      <c r="L21">
        <v>30673012</v>
      </c>
      <c r="M21">
        <v>0.94838820242353095</v>
      </c>
    </row>
    <row r="22" spans="1:13" x14ac:dyDescent="0.35">
      <c r="A22" t="s">
        <v>23</v>
      </c>
      <c r="B22">
        <v>116</v>
      </c>
      <c r="C22" t="s">
        <v>18</v>
      </c>
      <c r="E22" t="s">
        <v>26</v>
      </c>
      <c r="F22" t="s">
        <v>27</v>
      </c>
      <c r="G22" t="s">
        <v>28</v>
      </c>
      <c r="H22" t="s">
        <v>28</v>
      </c>
      <c r="I22" t="s">
        <v>24</v>
      </c>
      <c r="J22">
        <v>21339310</v>
      </c>
      <c r="K22">
        <v>21535918</v>
      </c>
      <c r="L22">
        <v>21437614</v>
      </c>
      <c r="M22">
        <v>0.94463018064165782</v>
      </c>
    </row>
    <row r="23" spans="1:13" x14ac:dyDescent="0.35">
      <c r="A23" t="s">
        <v>53</v>
      </c>
      <c r="B23">
        <v>117</v>
      </c>
      <c r="C23" t="s">
        <v>18</v>
      </c>
      <c r="E23" t="s">
        <v>19</v>
      </c>
      <c r="F23" t="s">
        <v>20</v>
      </c>
      <c r="G23" t="s">
        <v>21</v>
      </c>
      <c r="H23" t="s">
        <v>21</v>
      </c>
      <c r="I23" t="s">
        <v>24</v>
      </c>
      <c r="J23">
        <v>57152883</v>
      </c>
      <c r="K23">
        <v>57349491</v>
      </c>
      <c r="L23">
        <v>57251187</v>
      </c>
      <c r="M23">
        <v>0.93578133841684419</v>
      </c>
    </row>
    <row r="24" spans="1:13" x14ac:dyDescent="0.35">
      <c r="A24" t="s">
        <v>38</v>
      </c>
      <c r="B24">
        <v>741</v>
      </c>
      <c r="C24" t="s">
        <v>45</v>
      </c>
      <c r="D24" t="s">
        <v>46</v>
      </c>
      <c r="E24" t="s">
        <v>47</v>
      </c>
      <c r="F24" t="s">
        <v>48</v>
      </c>
      <c r="G24" t="s">
        <v>49</v>
      </c>
      <c r="H24" t="s">
        <v>49</v>
      </c>
      <c r="I24" t="s">
        <v>39</v>
      </c>
      <c r="J24">
        <v>72527829</v>
      </c>
      <c r="K24">
        <v>72724437</v>
      </c>
      <c r="L24">
        <v>72626133</v>
      </c>
      <c r="M24">
        <v>0.93368287752920165</v>
      </c>
    </row>
    <row r="25" spans="1:13" x14ac:dyDescent="0.35">
      <c r="A25" t="s">
        <v>54</v>
      </c>
      <c r="B25">
        <v>117</v>
      </c>
      <c r="C25" t="s">
        <v>18</v>
      </c>
      <c r="E25" t="s">
        <v>19</v>
      </c>
      <c r="F25" t="s">
        <v>20</v>
      </c>
      <c r="G25" t="s">
        <v>21</v>
      </c>
      <c r="H25" t="s">
        <v>21</v>
      </c>
      <c r="I25" t="s">
        <v>41</v>
      </c>
      <c r="J25">
        <v>100783102</v>
      </c>
      <c r="K25">
        <v>100979710</v>
      </c>
      <c r="L25">
        <v>100881406</v>
      </c>
      <c r="M25">
        <v>0.92894418155701475</v>
      </c>
    </row>
    <row r="26" spans="1:13" x14ac:dyDescent="0.35">
      <c r="A26" t="s">
        <v>55</v>
      </c>
      <c r="B26">
        <v>116</v>
      </c>
      <c r="C26" t="s">
        <v>18</v>
      </c>
      <c r="E26" t="s">
        <v>26</v>
      </c>
      <c r="F26" t="s">
        <v>27</v>
      </c>
      <c r="G26" t="s">
        <v>28</v>
      </c>
      <c r="H26" t="s">
        <v>28</v>
      </c>
      <c r="I26" t="s">
        <v>56</v>
      </c>
      <c r="J26">
        <v>9551128</v>
      </c>
      <c r="K26">
        <v>9747736</v>
      </c>
      <c r="L26">
        <v>9649432</v>
      </c>
      <c r="M26">
        <v>0.92842471813381244</v>
      </c>
    </row>
    <row r="27" spans="1:13" x14ac:dyDescent="0.35">
      <c r="A27" t="s">
        <v>57</v>
      </c>
      <c r="B27">
        <v>724</v>
      </c>
      <c r="C27" t="s">
        <v>45</v>
      </c>
      <c r="D27" t="s">
        <v>58</v>
      </c>
      <c r="E27" t="s">
        <v>50</v>
      </c>
      <c r="F27" t="s">
        <v>59</v>
      </c>
      <c r="G27" t="s">
        <v>60</v>
      </c>
      <c r="H27" t="s">
        <v>60</v>
      </c>
      <c r="I27" t="s">
        <v>56</v>
      </c>
      <c r="J27">
        <v>180769836</v>
      </c>
      <c r="K27">
        <v>180966444</v>
      </c>
      <c r="L27">
        <v>180868140</v>
      </c>
      <c r="M27">
        <v>0.91715515969419359</v>
      </c>
    </row>
    <row r="28" spans="1:13" x14ac:dyDescent="0.35">
      <c r="A28" t="s">
        <v>38</v>
      </c>
      <c r="B28">
        <v>117</v>
      </c>
      <c r="C28" t="s">
        <v>18</v>
      </c>
      <c r="E28" t="s">
        <v>19</v>
      </c>
      <c r="F28" t="s">
        <v>20</v>
      </c>
      <c r="G28" t="s">
        <v>21</v>
      </c>
      <c r="H28" t="s">
        <v>21</v>
      </c>
      <c r="I28" t="s">
        <v>39</v>
      </c>
      <c r="J28">
        <v>72527829</v>
      </c>
      <c r="K28">
        <v>72724437</v>
      </c>
      <c r="L28">
        <v>72626133</v>
      </c>
      <c r="M28">
        <v>0.91231865266539325</v>
      </c>
    </row>
    <row r="29" spans="1:13" x14ac:dyDescent="0.35">
      <c r="A29" t="s">
        <v>55</v>
      </c>
      <c r="B29">
        <v>117</v>
      </c>
      <c r="C29" t="s">
        <v>18</v>
      </c>
      <c r="E29" t="s">
        <v>19</v>
      </c>
      <c r="F29" t="s">
        <v>20</v>
      </c>
      <c r="G29" t="s">
        <v>21</v>
      </c>
      <c r="H29" t="s">
        <v>21</v>
      </c>
      <c r="I29" t="s">
        <v>56</v>
      </c>
      <c r="J29">
        <v>9551128</v>
      </c>
      <c r="K29">
        <v>9747736</v>
      </c>
      <c r="L29">
        <v>9649432</v>
      </c>
      <c r="M29">
        <v>0.91102574755246279</v>
      </c>
    </row>
    <row r="30" spans="1:13" x14ac:dyDescent="0.35">
      <c r="A30" t="s">
        <v>38</v>
      </c>
      <c r="B30">
        <v>737</v>
      </c>
      <c r="C30" t="s">
        <v>45</v>
      </c>
      <c r="D30" t="s">
        <v>58</v>
      </c>
      <c r="E30" t="s">
        <v>47</v>
      </c>
      <c r="F30" t="s">
        <v>61</v>
      </c>
      <c r="G30" t="s">
        <v>62</v>
      </c>
      <c r="H30" t="s">
        <v>62</v>
      </c>
      <c r="I30" t="s">
        <v>39</v>
      </c>
      <c r="J30">
        <v>72527829</v>
      </c>
      <c r="K30">
        <v>72724437</v>
      </c>
      <c r="L30">
        <v>72626133</v>
      </c>
      <c r="M30">
        <v>0.90754091278993521</v>
      </c>
    </row>
    <row r="31" spans="1:13" x14ac:dyDescent="0.35">
      <c r="A31" t="s">
        <v>30</v>
      </c>
      <c r="B31">
        <v>741</v>
      </c>
      <c r="C31" t="s">
        <v>45</v>
      </c>
      <c r="D31" t="s">
        <v>46</v>
      </c>
      <c r="E31" t="s">
        <v>47</v>
      </c>
      <c r="F31" t="s">
        <v>48</v>
      </c>
      <c r="G31" t="s">
        <v>49</v>
      </c>
      <c r="H31" t="s">
        <v>49</v>
      </c>
      <c r="I31" t="s">
        <v>31</v>
      </c>
      <c r="J31">
        <v>120371060</v>
      </c>
      <c r="K31">
        <v>120567668</v>
      </c>
      <c r="L31">
        <v>120469364</v>
      </c>
      <c r="M31">
        <v>0.90493499867771676</v>
      </c>
    </row>
    <row r="32" spans="1:13" x14ac:dyDescent="0.35">
      <c r="A32" t="s">
        <v>63</v>
      </c>
      <c r="B32">
        <v>741</v>
      </c>
      <c r="C32" t="s">
        <v>45</v>
      </c>
      <c r="D32" t="s">
        <v>46</v>
      </c>
      <c r="E32" t="s">
        <v>47</v>
      </c>
      <c r="F32" t="s">
        <v>48</v>
      </c>
      <c r="G32" t="s">
        <v>49</v>
      </c>
      <c r="H32" t="s">
        <v>49</v>
      </c>
      <c r="I32" t="s">
        <v>64</v>
      </c>
      <c r="J32">
        <v>45735440</v>
      </c>
      <c r="K32">
        <v>45932048</v>
      </c>
      <c r="L32">
        <v>45833744</v>
      </c>
      <c r="M32">
        <v>0.90386988411449043</v>
      </c>
    </row>
    <row r="33" spans="1:13" x14ac:dyDescent="0.35">
      <c r="A33" t="s">
        <v>42</v>
      </c>
      <c r="B33">
        <v>724</v>
      </c>
      <c r="C33" t="s">
        <v>45</v>
      </c>
      <c r="D33" t="s">
        <v>58</v>
      </c>
      <c r="E33" t="s">
        <v>50</v>
      </c>
      <c r="F33" t="s">
        <v>59</v>
      </c>
      <c r="G33" t="s">
        <v>60</v>
      </c>
      <c r="H33" t="s">
        <v>60</v>
      </c>
      <c r="I33" t="s">
        <v>43</v>
      </c>
      <c r="J33">
        <v>53098487</v>
      </c>
      <c r="K33">
        <v>53295095</v>
      </c>
      <c r="L33">
        <v>53196791</v>
      </c>
      <c r="M33">
        <v>0.8972992116648425</v>
      </c>
    </row>
    <row r="34" spans="1:13" x14ac:dyDescent="0.35">
      <c r="A34" t="s">
        <v>53</v>
      </c>
      <c r="B34">
        <v>116</v>
      </c>
      <c r="C34" t="s">
        <v>18</v>
      </c>
      <c r="E34" t="s">
        <v>26</v>
      </c>
      <c r="F34" t="s">
        <v>27</v>
      </c>
      <c r="G34" t="s">
        <v>28</v>
      </c>
      <c r="H34" t="s">
        <v>28</v>
      </c>
      <c r="I34" t="s">
        <v>24</v>
      </c>
      <c r="J34">
        <v>57152883</v>
      </c>
      <c r="K34">
        <v>57349491</v>
      </c>
      <c r="L34">
        <v>57251187</v>
      </c>
      <c r="M34">
        <v>0.89524380103879475</v>
      </c>
    </row>
    <row r="35" spans="1:13" x14ac:dyDescent="0.35">
      <c r="A35" t="s">
        <v>35</v>
      </c>
      <c r="B35">
        <v>741</v>
      </c>
      <c r="C35" t="s">
        <v>45</v>
      </c>
      <c r="D35" t="s">
        <v>46</v>
      </c>
      <c r="E35" t="s">
        <v>47</v>
      </c>
      <c r="F35" t="s">
        <v>48</v>
      </c>
      <c r="G35" t="s">
        <v>49</v>
      </c>
      <c r="H35" t="s">
        <v>49</v>
      </c>
      <c r="I35" t="s">
        <v>29</v>
      </c>
      <c r="J35">
        <v>11051264</v>
      </c>
      <c r="K35">
        <v>11247872</v>
      </c>
      <c r="L35">
        <v>11149568</v>
      </c>
      <c r="M35">
        <v>0.89485381534694397</v>
      </c>
    </row>
    <row r="36" spans="1:13" x14ac:dyDescent="0.35">
      <c r="A36" t="s">
        <v>40</v>
      </c>
      <c r="B36">
        <v>737</v>
      </c>
      <c r="C36" t="s">
        <v>45</v>
      </c>
      <c r="D36" t="s">
        <v>58</v>
      </c>
      <c r="E36" t="s">
        <v>47</v>
      </c>
      <c r="F36" t="s">
        <v>61</v>
      </c>
      <c r="G36" t="s">
        <v>62</v>
      </c>
      <c r="H36" t="s">
        <v>62</v>
      </c>
      <c r="I36" t="s">
        <v>41</v>
      </c>
      <c r="J36">
        <v>30574708</v>
      </c>
      <c r="K36">
        <v>30771316</v>
      </c>
      <c r="L36">
        <v>30673012</v>
      </c>
      <c r="M36">
        <v>0.89203668087566357</v>
      </c>
    </row>
    <row r="37" spans="1:13" x14ac:dyDescent="0.35">
      <c r="A37" t="s">
        <v>65</v>
      </c>
      <c r="B37">
        <v>729</v>
      </c>
      <c r="C37" t="s">
        <v>45</v>
      </c>
      <c r="D37" t="s">
        <v>46</v>
      </c>
      <c r="E37" t="s">
        <v>50</v>
      </c>
      <c r="F37" t="s">
        <v>51</v>
      </c>
      <c r="G37" t="s">
        <v>52</v>
      </c>
      <c r="H37" t="s">
        <v>52</v>
      </c>
      <c r="I37" t="s">
        <v>24</v>
      </c>
      <c r="J37">
        <v>40594126</v>
      </c>
      <c r="K37">
        <v>40790734</v>
      </c>
      <c r="L37">
        <v>40692430</v>
      </c>
      <c r="M37">
        <v>0.88666133438496209</v>
      </c>
    </row>
    <row r="38" spans="1:13" x14ac:dyDescent="0.35">
      <c r="A38" t="s">
        <v>42</v>
      </c>
      <c r="B38">
        <v>117</v>
      </c>
      <c r="C38" t="s">
        <v>18</v>
      </c>
      <c r="E38" t="s">
        <v>19</v>
      </c>
      <c r="F38" t="s">
        <v>20</v>
      </c>
      <c r="G38" t="s">
        <v>21</v>
      </c>
      <c r="H38" t="s">
        <v>21</v>
      </c>
      <c r="I38" t="s">
        <v>43</v>
      </c>
      <c r="J38">
        <v>53098487</v>
      </c>
      <c r="K38">
        <v>53295095</v>
      </c>
      <c r="L38">
        <v>53196791</v>
      </c>
      <c r="M38">
        <v>0.88660492380457079</v>
      </c>
    </row>
    <row r="39" spans="1:13" x14ac:dyDescent="0.35">
      <c r="A39" t="s">
        <v>66</v>
      </c>
      <c r="B39">
        <v>737</v>
      </c>
      <c r="C39" t="s">
        <v>45</v>
      </c>
      <c r="D39" t="s">
        <v>58</v>
      </c>
      <c r="E39" t="s">
        <v>47</v>
      </c>
      <c r="F39" t="s">
        <v>61</v>
      </c>
      <c r="G39" t="s">
        <v>62</v>
      </c>
      <c r="H39" t="s">
        <v>62</v>
      </c>
      <c r="I39" t="s">
        <v>43</v>
      </c>
      <c r="J39">
        <v>1336556</v>
      </c>
      <c r="K39">
        <v>1533164</v>
      </c>
      <c r="L39">
        <v>1434860</v>
      </c>
      <c r="M39">
        <v>0.88430380827686039</v>
      </c>
    </row>
    <row r="40" spans="1:13" x14ac:dyDescent="0.35">
      <c r="A40" t="s">
        <v>54</v>
      </c>
      <c r="B40">
        <v>116</v>
      </c>
      <c r="C40" t="s">
        <v>18</v>
      </c>
      <c r="E40" t="s">
        <v>26</v>
      </c>
      <c r="F40" t="s">
        <v>27</v>
      </c>
      <c r="G40" t="s">
        <v>28</v>
      </c>
      <c r="H40" t="s">
        <v>28</v>
      </c>
      <c r="I40" t="s">
        <v>41</v>
      </c>
      <c r="J40">
        <v>100783102</v>
      </c>
      <c r="K40">
        <v>100979710</v>
      </c>
      <c r="L40">
        <v>100881406</v>
      </c>
      <c r="M40">
        <v>0.88312801360791626</v>
      </c>
    </row>
    <row r="41" spans="1:13" x14ac:dyDescent="0.35">
      <c r="A41" t="s">
        <v>67</v>
      </c>
      <c r="B41">
        <v>741</v>
      </c>
      <c r="C41" t="s">
        <v>45</v>
      </c>
      <c r="D41" t="s">
        <v>46</v>
      </c>
      <c r="E41" t="s">
        <v>47</v>
      </c>
      <c r="F41" t="s">
        <v>48</v>
      </c>
      <c r="G41" t="s">
        <v>49</v>
      </c>
      <c r="H41" t="s">
        <v>49</v>
      </c>
      <c r="I41" t="s">
        <v>34</v>
      </c>
      <c r="J41">
        <v>169411382</v>
      </c>
      <c r="K41">
        <v>169607990</v>
      </c>
      <c r="L41">
        <v>169509686</v>
      </c>
      <c r="M41">
        <v>0.88244146699421877</v>
      </c>
    </row>
    <row r="42" spans="1:13" x14ac:dyDescent="0.35">
      <c r="A42" t="s">
        <v>35</v>
      </c>
      <c r="B42">
        <v>117</v>
      </c>
      <c r="C42" t="s">
        <v>18</v>
      </c>
      <c r="E42" t="s">
        <v>19</v>
      </c>
      <c r="F42" t="s">
        <v>20</v>
      </c>
      <c r="G42" t="s">
        <v>21</v>
      </c>
      <c r="H42" t="s">
        <v>21</v>
      </c>
      <c r="I42" t="s">
        <v>29</v>
      </c>
      <c r="J42">
        <v>11051264</v>
      </c>
      <c r="K42">
        <v>11247872</v>
      </c>
      <c r="L42">
        <v>11149568</v>
      </c>
      <c r="M42">
        <v>0.87944913846303741</v>
      </c>
    </row>
    <row r="43" spans="1:13" x14ac:dyDescent="0.35">
      <c r="A43" t="s">
        <v>68</v>
      </c>
      <c r="B43">
        <v>741</v>
      </c>
      <c r="C43" t="s">
        <v>45</v>
      </c>
      <c r="D43" t="s">
        <v>46</v>
      </c>
      <c r="E43" t="s">
        <v>47</v>
      </c>
      <c r="F43" t="s">
        <v>48</v>
      </c>
      <c r="G43" t="s">
        <v>49</v>
      </c>
      <c r="H43" t="s">
        <v>49</v>
      </c>
      <c r="I43" t="s">
        <v>56</v>
      </c>
      <c r="J43">
        <v>81663476</v>
      </c>
      <c r="K43">
        <v>81860084</v>
      </c>
      <c r="L43">
        <v>81761780</v>
      </c>
      <c r="M43">
        <v>0.87646846935620182</v>
      </c>
    </row>
    <row r="44" spans="1:13" x14ac:dyDescent="0.35">
      <c r="A44" t="s">
        <v>69</v>
      </c>
      <c r="B44">
        <v>741</v>
      </c>
      <c r="C44" t="s">
        <v>45</v>
      </c>
      <c r="D44" t="s">
        <v>46</v>
      </c>
      <c r="E44" t="s">
        <v>47</v>
      </c>
      <c r="F44" t="s">
        <v>48</v>
      </c>
      <c r="G44" t="s">
        <v>49</v>
      </c>
      <c r="H44" t="s">
        <v>49</v>
      </c>
      <c r="I44" t="s">
        <v>22</v>
      </c>
      <c r="J44">
        <v>33212657</v>
      </c>
      <c r="K44">
        <v>33409265</v>
      </c>
      <c r="L44">
        <v>33310961</v>
      </c>
      <c r="M44">
        <v>0.8755072260636475</v>
      </c>
    </row>
    <row r="45" spans="1:13" x14ac:dyDescent="0.35">
      <c r="A45" t="s">
        <v>23</v>
      </c>
      <c r="B45">
        <v>729</v>
      </c>
      <c r="C45" t="s">
        <v>45</v>
      </c>
      <c r="D45" t="s">
        <v>46</v>
      </c>
      <c r="E45" t="s">
        <v>50</v>
      </c>
      <c r="F45" t="s">
        <v>51</v>
      </c>
      <c r="G45" t="s">
        <v>52</v>
      </c>
      <c r="H45" t="s">
        <v>52</v>
      </c>
      <c r="I45" t="s">
        <v>24</v>
      </c>
      <c r="J45">
        <v>21339310</v>
      </c>
      <c r="K45">
        <v>21535918</v>
      </c>
      <c r="L45">
        <v>21437614</v>
      </c>
      <c r="M45">
        <v>0.87510830729986266</v>
      </c>
    </row>
    <row r="46" spans="1:13" x14ac:dyDescent="0.35">
      <c r="A46" t="s">
        <v>70</v>
      </c>
      <c r="B46">
        <v>737</v>
      </c>
      <c r="C46" t="s">
        <v>45</v>
      </c>
      <c r="D46" t="s">
        <v>58</v>
      </c>
      <c r="E46" t="s">
        <v>47</v>
      </c>
      <c r="F46" t="s">
        <v>61</v>
      </c>
      <c r="G46" t="s">
        <v>62</v>
      </c>
      <c r="H46" t="s">
        <v>62</v>
      </c>
      <c r="I46" t="s">
        <v>56</v>
      </c>
      <c r="J46">
        <v>134553331</v>
      </c>
      <c r="K46">
        <v>134749939</v>
      </c>
      <c r="L46">
        <v>134651635</v>
      </c>
      <c r="M46">
        <v>0.87393328039137919</v>
      </c>
    </row>
    <row r="47" spans="1:13" x14ac:dyDescent="0.35">
      <c r="A47" t="s">
        <v>69</v>
      </c>
      <c r="B47">
        <v>729</v>
      </c>
      <c r="C47" t="s">
        <v>45</v>
      </c>
      <c r="D47" t="s">
        <v>46</v>
      </c>
      <c r="E47" t="s">
        <v>50</v>
      </c>
      <c r="F47" t="s">
        <v>51</v>
      </c>
      <c r="G47" t="s">
        <v>52</v>
      </c>
      <c r="H47" t="s">
        <v>52</v>
      </c>
      <c r="I47" t="s">
        <v>22</v>
      </c>
      <c r="J47">
        <v>33212657</v>
      </c>
      <c r="K47">
        <v>33409265</v>
      </c>
      <c r="L47">
        <v>33310961</v>
      </c>
      <c r="M47">
        <v>0.86687090633813491</v>
      </c>
    </row>
    <row r="48" spans="1:13" x14ac:dyDescent="0.35">
      <c r="A48" t="s">
        <v>71</v>
      </c>
      <c r="B48">
        <v>116</v>
      </c>
      <c r="C48" t="s">
        <v>18</v>
      </c>
      <c r="E48" t="s">
        <v>26</v>
      </c>
      <c r="F48" t="s">
        <v>27</v>
      </c>
      <c r="G48" t="s">
        <v>28</v>
      </c>
      <c r="H48" t="s">
        <v>28</v>
      </c>
      <c r="I48" t="s">
        <v>72</v>
      </c>
      <c r="J48">
        <v>1885888</v>
      </c>
      <c r="K48">
        <v>2082496</v>
      </c>
      <c r="L48">
        <v>1984192</v>
      </c>
      <c r="M48">
        <v>0.86578697946686245</v>
      </c>
    </row>
    <row r="49" spans="1:13" x14ac:dyDescent="0.35">
      <c r="A49" t="s">
        <v>73</v>
      </c>
      <c r="B49">
        <v>741</v>
      </c>
      <c r="C49" t="s">
        <v>45</v>
      </c>
      <c r="D49" t="s">
        <v>46</v>
      </c>
      <c r="E49" t="s">
        <v>47</v>
      </c>
      <c r="F49" t="s">
        <v>48</v>
      </c>
      <c r="G49" t="s">
        <v>49</v>
      </c>
      <c r="H49" t="s">
        <v>49</v>
      </c>
      <c r="I49" t="s">
        <v>74</v>
      </c>
      <c r="J49">
        <v>25643839</v>
      </c>
      <c r="K49">
        <v>25840447</v>
      </c>
      <c r="L49">
        <v>25742143</v>
      </c>
      <c r="M49">
        <v>0.86402862819619541</v>
      </c>
    </row>
    <row r="50" spans="1:13" x14ac:dyDescent="0.35">
      <c r="A50" t="s">
        <v>75</v>
      </c>
      <c r="B50">
        <v>729</v>
      </c>
      <c r="C50" t="s">
        <v>45</v>
      </c>
      <c r="D50" t="s">
        <v>46</v>
      </c>
      <c r="E50" t="s">
        <v>50</v>
      </c>
      <c r="F50" t="s">
        <v>51</v>
      </c>
      <c r="G50" t="s">
        <v>52</v>
      </c>
      <c r="H50" t="s">
        <v>52</v>
      </c>
      <c r="I50" t="s">
        <v>76</v>
      </c>
      <c r="J50">
        <v>45684247</v>
      </c>
      <c r="K50">
        <v>45880855</v>
      </c>
      <c r="L50">
        <v>45782551</v>
      </c>
      <c r="M50">
        <v>0.86102304389557349</v>
      </c>
    </row>
    <row r="51" spans="1:13" x14ac:dyDescent="0.35">
      <c r="A51" t="s">
        <v>77</v>
      </c>
      <c r="B51">
        <v>724</v>
      </c>
      <c r="C51" t="s">
        <v>45</v>
      </c>
      <c r="D51" t="s">
        <v>58</v>
      </c>
      <c r="E51" t="s">
        <v>50</v>
      </c>
      <c r="F51" t="s">
        <v>59</v>
      </c>
      <c r="G51" t="s">
        <v>60</v>
      </c>
      <c r="H51" t="s">
        <v>60</v>
      </c>
      <c r="I51" t="s">
        <v>56</v>
      </c>
      <c r="J51">
        <v>186708753</v>
      </c>
      <c r="K51">
        <v>186905361</v>
      </c>
      <c r="L51">
        <v>186807057</v>
      </c>
      <c r="M51">
        <v>0.8609218201844564</v>
      </c>
    </row>
    <row r="52" spans="1:13" x14ac:dyDescent="0.35">
      <c r="A52" t="s">
        <v>78</v>
      </c>
      <c r="B52">
        <v>729</v>
      </c>
      <c r="C52" t="s">
        <v>45</v>
      </c>
      <c r="D52" t="s">
        <v>46</v>
      </c>
      <c r="E52" t="s">
        <v>50</v>
      </c>
      <c r="F52" t="s">
        <v>51</v>
      </c>
      <c r="G52" t="s">
        <v>52</v>
      </c>
      <c r="H52" t="s">
        <v>52</v>
      </c>
      <c r="I52" t="s">
        <v>76</v>
      </c>
      <c r="J52">
        <v>10619669</v>
      </c>
      <c r="K52">
        <v>10816277</v>
      </c>
      <c r="L52">
        <v>10717973</v>
      </c>
      <c r="M52">
        <v>0.86069668679985745</v>
      </c>
    </row>
    <row r="53" spans="1:13" x14ac:dyDescent="0.35">
      <c r="A53" t="s">
        <v>63</v>
      </c>
      <c r="B53">
        <v>729</v>
      </c>
      <c r="C53" t="s">
        <v>45</v>
      </c>
      <c r="D53" t="s">
        <v>46</v>
      </c>
      <c r="E53" t="s">
        <v>50</v>
      </c>
      <c r="F53" t="s">
        <v>51</v>
      </c>
      <c r="G53" t="s">
        <v>52</v>
      </c>
      <c r="H53" t="s">
        <v>52</v>
      </c>
      <c r="I53" t="s">
        <v>64</v>
      </c>
      <c r="J53">
        <v>45735440</v>
      </c>
      <c r="K53">
        <v>45932048</v>
      </c>
      <c r="L53">
        <v>45833744</v>
      </c>
      <c r="M53">
        <v>0.86038325340743171</v>
      </c>
    </row>
    <row r="54" spans="1:13" x14ac:dyDescent="0.35">
      <c r="A54" t="s">
        <v>40</v>
      </c>
      <c r="B54">
        <v>729</v>
      </c>
      <c r="C54" t="s">
        <v>45</v>
      </c>
      <c r="D54" t="s">
        <v>46</v>
      </c>
      <c r="E54" t="s">
        <v>50</v>
      </c>
      <c r="F54" t="s">
        <v>51</v>
      </c>
      <c r="G54" t="s">
        <v>52</v>
      </c>
      <c r="H54" t="s">
        <v>52</v>
      </c>
      <c r="I54" t="s">
        <v>41</v>
      </c>
      <c r="J54">
        <v>30574708</v>
      </c>
      <c r="K54">
        <v>30771316</v>
      </c>
      <c r="L54">
        <v>30673012</v>
      </c>
      <c r="M54">
        <v>0.85920456398419509</v>
      </c>
    </row>
    <row r="55" spans="1:13" x14ac:dyDescent="0.35">
      <c r="A55" t="s">
        <v>40</v>
      </c>
      <c r="B55">
        <v>741</v>
      </c>
      <c r="C55" t="s">
        <v>45</v>
      </c>
      <c r="D55" t="s">
        <v>46</v>
      </c>
      <c r="E55" t="s">
        <v>47</v>
      </c>
      <c r="F55" t="s">
        <v>48</v>
      </c>
      <c r="G55" t="s">
        <v>49</v>
      </c>
      <c r="H55" t="s">
        <v>49</v>
      </c>
      <c r="I55" t="s">
        <v>41</v>
      </c>
      <c r="J55">
        <v>30574708</v>
      </c>
      <c r="K55">
        <v>30771316</v>
      </c>
      <c r="L55">
        <v>30673012</v>
      </c>
      <c r="M55">
        <v>0.85165835982205162</v>
      </c>
    </row>
    <row r="56" spans="1:13" x14ac:dyDescent="0.35">
      <c r="A56" t="s">
        <v>79</v>
      </c>
      <c r="B56">
        <v>741</v>
      </c>
      <c r="C56" t="s">
        <v>45</v>
      </c>
      <c r="D56" t="s">
        <v>46</v>
      </c>
      <c r="E56" t="s">
        <v>47</v>
      </c>
      <c r="F56" t="s">
        <v>48</v>
      </c>
      <c r="G56" t="s">
        <v>49</v>
      </c>
      <c r="H56" t="s">
        <v>49</v>
      </c>
      <c r="I56" t="s">
        <v>56</v>
      </c>
      <c r="J56">
        <v>8635497</v>
      </c>
      <c r="K56">
        <v>8832105</v>
      </c>
      <c r="L56">
        <v>8733801</v>
      </c>
      <c r="M56">
        <v>0.85155026799044575</v>
      </c>
    </row>
    <row r="57" spans="1:13" x14ac:dyDescent="0.35">
      <c r="A57" t="s">
        <v>42</v>
      </c>
      <c r="B57">
        <v>729</v>
      </c>
      <c r="C57" t="s">
        <v>45</v>
      </c>
      <c r="D57" t="s">
        <v>46</v>
      </c>
      <c r="E57" t="s">
        <v>50</v>
      </c>
      <c r="F57" t="s">
        <v>51</v>
      </c>
      <c r="G57" t="s">
        <v>52</v>
      </c>
      <c r="H57" t="s">
        <v>52</v>
      </c>
      <c r="I57" t="s">
        <v>43</v>
      </c>
      <c r="J57">
        <v>53098487</v>
      </c>
      <c r="K57">
        <v>53295095</v>
      </c>
      <c r="L57">
        <v>53196791</v>
      </c>
      <c r="M57">
        <v>0.85125559258869787</v>
      </c>
    </row>
    <row r="58" spans="1:13" x14ac:dyDescent="0.35">
      <c r="A58" t="s">
        <v>44</v>
      </c>
      <c r="B58">
        <v>116</v>
      </c>
      <c r="C58" t="s">
        <v>18</v>
      </c>
      <c r="E58" t="s">
        <v>26</v>
      </c>
      <c r="F58" t="s">
        <v>27</v>
      </c>
      <c r="G58" t="s">
        <v>28</v>
      </c>
      <c r="H58" t="s">
        <v>28</v>
      </c>
      <c r="I58" t="s">
        <v>31</v>
      </c>
      <c r="J58">
        <v>64936408</v>
      </c>
      <c r="K58">
        <v>65133016</v>
      </c>
      <c r="L58">
        <v>65034712</v>
      </c>
      <c r="M58">
        <v>0.84805719757330411</v>
      </c>
    </row>
    <row r="59" spans="1:13" x14ac:dyDescent="0.35">
      <c r="A59" t="s">
        <v>75</v>
      </c>
      <c r="B59">
        <v>741</v>
      </c>
      <c r="C59" t="s">
        <v>45</v>
      </c>
      <c r="D59" t="s">
        <v>46</v>
      </c>
      <c r="E59" t="s">
        <v>47</v>
      </c>
      <c r="F59" t="s">
        <v>48</v>
      </c>
      <c r="G59" t="s">
        <v>49</v>
      </c>
      <c r="H59" t="s">
        <v>49</v>
      </c>
      <c r="I59" t="s">
        <v>76</v>
      </c>
      <c r="J59">
        <v>45684247</v>
      </c>
      <c r="K59">
        <v>45880855</v>
      </c>
      <c r="L59">
        <v>45782551</v>
      </c>
      <c r="M59">
        <v>0.84390742113749373</v>
      </c>
    </row>
    <row r="60" spans="1:13" x14ac:dyDescent="0.35">
      <c r="A60" t="s">
        <v>44</v>
      </c>
      <c r="B60">
        <v>117</v>
      </c>
      <c r="C60" t="s">
        <v>18</v>
      </c>
      <c r="E60" t="s">
        <v>19</v>
      </c>
      <c r="F60" t="s">
        <v>20</v>
      </c>
      <c r="G60" t="s">
        <v>21</v>
      </c>
      <c r="H60" t="s">
        <v>21</v>
      </c>
      <c r="I60" t="s">
        <v>31</v>
      </c>
      <c r="J60">
        <v>64936408</v>
      </c>
      <c r="K60">
        <v>65133016</v>
      </c>
      <c r="L60">
        <v>65034712</v>
      </c>
      <c r="M60">
        <v>0.84374864627114732</v>
      </c>
    </row>
    <row r="61" spans="1:13" x14ac:dyDescent="0.35">
      <c r="A61" t="s">
        <v>80</v>
      </c>
      <c r="B61">
        <v>724</v>
      </c>
      <c r="C61" t="s">
        <v>45</v>
      </c>
      <c r="D61" t="s">
        <v>58</v>
      </c>
      <c r="E61" t="s">
        <v>50</v>
      </c>
      <c r="F61" t="s">
        <v>59</v>
      </c>
      <c r="G61" t="s">
        <v>60</v>
      </c>
      <c r="H61" t="s">
        <v>60</v>
      </c>
      <c r="I61" t="s">
        <v>34</v>
      </c>
      <c r="J61">
        <v>127009251</v>
      </c>
      <c r="K61">
        <v>127205859</v>
      </c>
      <c r="L61">
        <v>127107555</v>
      </c>
      <c r="M61">
        <v>0.84183857664033146</v>
      </c>
    </row>
    <row r="62" spans="1:13" x14ac:dyDescent="0.35">
      <c r="A62" t="s">
        <v>78</v>
      </c>
      <c r="B62">
        <v>117</v>
      </c>
      <c r="C62" t="s">
        <v>18</v>
      </c>
      <c r="E62" t="s">
        <v>19</v>
      </c>
      <c r="F62" t="s">
        <v>20</v>
      </c>
      <c r="G62" t="s">
        <v>21</v>
      </c>
      <c r="H62" t="s">
        <v>21</v>
      </c>
      <c r="I62" t="s">
        <v>76</v>
      </c>
      <c r="J62">
        <v>10619669</v>
      </c>
      <c r="K62">
        <v>10816277</v>
      </c>
      <c r="L62">
        <v>10717973</v>
      </c>
      <c r="M62">
        <v>0.83354736066123403</v>
      </c>
    </row>
    <row r="63" spans="1:13" x14ac:dyDescent="0.35">
      <c r="A63" t="s">
        <v>25</v>
      </c>
      <c r="B63">
        <v>729</v>
      </c>
      <c r="C63" t="s">
        <v>45</v>
      </c>
      <c r="D63" t="s">
        <v>46</v>
      </c>
      <c r="E63" t="s">
        <v>50</v>
      </c>
      <c r="F63" t="s">
        <v>51</v>
      </c>
      <c r="G63" t="s">
        <v>52</v>
      </c>
      <c r="H63" t="s">
        <v>52</v>
      </c>
      <c r="I63" t="s">
        <v>29</v>
      </c>
      <c r="J63">
        <v>45869035</v>
      </c>
      <c r="K63">
        <v>46065643</v>
      </c>
      <c r="L63">
        <v>45967339</v>
      </c>
      <c r="M63">
        <v>0.83230909887843574</v>
      </c>
    </row>
    <row r="64" spans="1:13" x14ac:dyDescent="0.35">
      <c r="A64" t="s">
        <v>80</v>
      </c>
      <c r="B64">
        <v>737</v>
      </c>
      <c r="C64" t="s">
        <v>45</v>
      </c>
      <c r="D64" t="s">
        <v>58</v>
      </c>
      <c r="E64" t="s">
        <v>47</v>
      </c>
      <c r="F64" t="s">
        <v>61</v>
      </c>
      <c r="G64" t="s">
        <v>62</v>
      </c>
      <c r="H64" t="s">
        <v>62</v>
      </c>
      <c r="I64" t="s">
        <v>34</v>
      </c>
      <c r="J64">
        <v>127009251</v>
      </c>
      <c r="K64">
        <v>127205859</v>
      </c>
      <c r="L64">
        <v>127107555</v>
      </c>
      <c r="M64">
        <v>0.83158050824471841</v>
      </c>
    </row>
    <row r="65" spans="1:13" x14ac:dyDescent="0.35">
      <c r="A65" t="s">
        <v>81</v>
      </c>
      <c r="B65">
        <v>117</v>
      </c>
      <c r="C65" t="s">
        <v>18</v>
      </c>
      <c r="E65" t="s">
        <v>19</v>
      </c>
      <c r="F65" t="s">
        <v>20</v>
      </c>
      <c r="G65" t="s">
        <v>21</v>
      </c>
      <c r="H65" t="s">
        <v>21</v>
      </c>
      <c r="I65" t="s">
        <v>43</v>
      </c>
      <c r="J65">
        <v>77880765</v>
      </c>
      <c r="K65">
        <v>78077373</v>
      </c>
      <c r="L65">
        <v>77979069</v>
      </c>
      <c r="M65">
        <v>0.83142462848189636</v>
      </c>
    </row>
    <row r="66" spans="1:13" x14ac:dyDescent="0.35">
      <c r="A66" t="s">
        <v>23</v>
      </c>
      <c r="B66">
        <v>741</v>
      </c>
      <c r="C66" t="s">
        <v>45</v>
      </c>
      <c r="D66" t="s">
        <v>46</v>
      </c>
      <c r="E66" t="s">
        <v>47</v>
      </c>
      <c r="F66" t="s">
        <v>48</v>
      </c>
      <c r="G66" t="s">
        <v>49</v>
      </c>
      <c r="H66" t="s">
        <v>49</v>
      </c>
      <c r="I66" t="s">
        <v>24</v>
      </c>
      <c r="J66">
        <v>21339310</v>
      </c>
      <c r="K66">
        <v>21535918</v>
      </c>
      <c r="L66">
        <v>21437614</v>
      </c>
      <c r="M66">
        <v>0.83119566652136223</v>
      </c>
    </row>
    <row r="67" spans="1:13" x14ac:dyDescent="0.35">
      <c r="A67" t="s">
        <v>79</v>
      </c>
      <c r="B67">
        <v>117</v>
      </c>
      <c r="C67" t="s">
        <v>18</v>
      </c>
      <c r="E67" t="s">
        <v>19</v>
      </c>
      <c r="F67" t="s">
        <v>20</v>
      </c>
      <c r="G67" t="s">
        <v>21</v>
      </c>
      <c r="H67" t="s">
        <v>21</v>
      </c>
      <c r="I67" t="s">
        <v>56</v>
      </c>
      <c r="J67">
        <v>8635497</v>
      </c>
      <c r="K67">
        <v>8832105</v>
      </c>
      <c r="L67">
        <v>8733801</v>
      </c>
      <c r="M67">
        <v>0.8305388360283622</v>
      </c>
    </row>
    <row r="68" spans="1:13" x14ac:dyDescent="0.35">
      <c r="A68" t="s">
        <v>42</v>
      </c>
      <c r="B68">
        <v>737</v>
      </c>
      <c r="C68" t="s">
        <v>45</v>
      </c>
      <c r="D68" t="s">
        <v>58</v>
      </c>
      <c r="E68" t="s">
        <v>47</v>
      </c>
      <c r="F68" t="s">
        <v>61</v>
      </c>
      <c r="G68" t="s">
        <v>62</v>
      </c>
      <c r="H68" t="s">
        <v>62</v>
      </c>
      <c r="I68" t="s">
        <v>43</v>
      </c>
      <c r="J68">
        <v>53098487</v>
      </c>
      <c r="K68">
        <v>53295095</v>
      </c>
      <c r="L68">
        <v>53196791</v>
      </c>
      <c r="M68">
        <v>0.82774319189141998</v>
      </c>
    </row>
    <row r="69" spans="1:13" x14ac:dyDescent="0.35">
      <c r="A69" t="s">
        <v>35</v>
      </c>
      <c r="B69">
        <v>729</v>
      </c>
      <c r="C69" t="s">
        <v>45</v>
      </c>
      <c r="D69" t="s">
        <v>46</v>
      </c>
      <c r="E69" t="s">
        <v>50</v>
      </c>
      <c r="F69" t="s">
        <v>51</v>
      </c>
      <c r="G69" t="s">
        <v>52</v>
      </c>
      <c r="H69" t="s">
        <v>52</v>
      </c>
      <c r="I69" t="s">
        <v>29</v>
      </c>
      <c r="J69">
        <v>11051264</v>
      </c>
      <c r="K69">
        <v>11247872</v>
      </c>
      <c r="L69">
        <v>11149568</v>
      </c>
      <c r="M69">
        <v>0.82639308706765624</v>
      </c>
    </row>
    <row r="70" spans="1:13" x14ac:dyDescent="0.35">
      <c r="A70" t="s">
        <v>82</v>
      </c>
      <c r="B70">
        <v>116</v>
      </c>
      <c r="C70" t="s">
        <v>18</v>
      </c>
      <c r="E70" t="s">
        <v>26</v>
      </c>
      <c r="F70" t="s">
        <v>27</v>
      </c>
      <c r="G70" t="s">
        <v>28</v>
      </c>
      <c r="H70" t="s">
        <v>28</v>
      </c>
      <c r="I70" t="s">
        <v>83</v>
      </c>
      <c r="J70">
        <v>29928397</v>
      </c>
      <c r="K70">
        <v>30125005</v>
      </c>
      <c r="L70">
        <v>30026701</v>
      </c>
      <c r="M70">
        <v>0.82478905499582367</v>
      </c>
    </row>
    <row r="71" spans="1:13" x14ac:dyDescent="0.35">
      <c r="A71" t="s">
        <v>84</v>
      </c>
      <c r="B71">
        <v>729</v>
      </c>
      <c r="C71" t="s">
        <v>45</v>
      </c>
      <c r="D71" t="s">
        <v>46</v>
      </c>
      <c r="E71" t="s">
        <v>50</v>
      </c>
      <c r="F71" t="s">
        <v>51</v>
      </c>
      <c r="G71" t="s">
        <v>52</v>
      </c>
      <c r="H71" t="s">
        <v>52</v>
      </c>
      <c r="I71" t="s">
        <v>83</v>
      </c>
      <c r="J71">
        <v>157237076</v>
      </c>
      <c r="K71">
        <v>157433684</v>
      </c>
      <c r="L71">
        <v>157335380</v>
      </c>
      <c r="M71">
        <v>0.82429195578382031</v>
      </c>
    </row>
    <row r="72" spans="1:13" x14ac:dyDescent="0.35">
      <c r="A72" t="s">
        <v>85</v>
      </c>
      <c r="B72">
        <v>116</v>
      </c>
      <c r="C72" t="s">
        <v>18</v>
      </c>
      <c r="E72" t="s">
        <v>26</v>
      </c>
      <c r="F72" t="s">
        <v>27</v>
      </c>
      <c r="G72" t="s">
        <v>28</v>
      </c>
      <c r="H72" t="s">
        <v>28</v>
      </c>
      <c r="I72" t="s">
        <v>24</v>
      </c>
      <c r="J72">
        <v>121528204</v>
      </c>
      <c r="K72">
        <v>121724812</v>
      </c>
      <c r="L72">
        <v>121626508</v>
      </c>
      <c r="M72">
        <v>0.82352169618684601</v>
      </c>
    </row>
    <row r="73" spans="1:13" x14ac:dyDescent="0.35">
      <c r="A73" t="s">
        <v>86</v>
      </c>
      <c r="B73">
        <v>729</v>
      </c>
      <c r="C73" t="s">
        <v>45</v>
      </c>
      <c r="D73" t="s">
        <v>46</v>
      </c>
      <c r="E73" t="s">
        <v>50</v>
      </c>
      <c r="F73" t="s">
        <v>51</v>
      </c>
      <c r="G73" t="s">
        <v>52</v>
      </c>
      <c r="H73" t="s">
        <v>52</v>
      </c>
      <c r="I73" t="s">
        <v>34</v>
      </c>
      <c r="J73">
        <v>237316100</v>
      </c>
      <c r="K73">
        <v>237512708</v>
      </c>
      <c r="L73">
        <v>237414404</v>
      </c>
      <c r="M73">
        <v>0.82162963145816093</v>
      </c>
    </row>
    <row r="74" spans="1:13" x14ac:dyDescent="0.35">
      <c r="A74" t="s">
        <v>78</v>
      </c>
      <c r="B74">
        <v>724</v>
      </c>
      <c r="C74" t="s">
        <v>45</v>
      </c>
      <c r="D74" t="s">
        <v>58</v>
      </c>
      <c r="E74" t="s">
        <v>50</v>
      </c>
      <c r="F74" t="s">
        <v>59</v>
      </c>
      <c r="G74" t="s">
        <v>60</v>
      </c>
      <c r="H74" t="s">
        <v>60</v>
      </c>
      <c r="I74" t="s">
        <v>76</v>
      </c>
      <c r="J74">
        <v>10619669</v>
      </c>
      <c r="K74">
        <v>10816277</v>
      </c>
      <c r="L74">
        <v>10717973</v>
      </c>
      <c r="M74">
        <v>0.81809851549955703</v>
      </c>
    </row>
    <row r="75" spans="1:13" x14ac:dyDescent="0.35">
      <c r="A75" t="s">
        <v>87</v>
      </c>
      <c r="B75">
        <v>116</v>
      </c>
      <c r="C75" t="s">
        <v>18</v>
      </c>
      <c r="E75" t="s">
        <v>26</v>
      </c>
      <c r="F75" t="s">
        <v>27</v>
      </c>
      <c r="G75" t="s">
        <v>28</v>
      </c>
      <c r="H75" t="s">
        <v>28</v>
      </c>
      <c r="I75" t="s">
        <v>88</v>
      </c>
      <c r="J75">
        <v>17621266</v>
      </c>
      <c r="K75">
        <v>17817874</v>
      </c>
      <c r="L75">
        <v>17719570</v>
      </c>
      <c r="M75">
        <v>0.81664478338746926</v>
      </c>
    </row>
    <row r="76" spans="1:13" x14ac:dyDescent="0.35">
      <c r="A76" t="s">
        <v>68</v>
      </c>
      <c r="B76">
        <v>729</v>
      </c>
      <c r="C76" t="s">
        <v>45</v>
      </c>
      <c r="D76" t="s">
        <v>46</v>
      </c>
      <c r="E76" t="s">
        <v>50</v>
      </c>
      <c r="F76" t="s">
        <v>51</v>
      </c>
      <c r="G76" t="s">
        <v>52</v>
      </c>
      <c r="H76" t="s">
        <v>52</v>
      </c>
      <c r="I76" t="s">
        <v>56</v>
      </c>
      <c r="J76">
        <v>81663476</v>
      </c>
      <c r="K76">
        <v>81860084</v>
      </c>
      <c r="L76">
        <v>81761780</v>
      </c>
      <c r="M76">
        <v>0.81610307013014116</v>
      </c>
    </row>
    <row r="77" spans="1:13" x14ac:dyDescent="0.35">
      <c r="A77" t="s">
        <v>38</v>
      </c>
      <c r="B77">
        <v>724</v>
      </c>
      <c r="C77" t="s">
        <v>45</v>
      </c>
      <c r="D77" t="s">
        <v>58</v>
      </c>
      <c r="E77" t="s">
        <v>50</v>
      </c>
      <c r="F77" t="s">
        <v>59</v>
      </c>
      <c r="G77" t="s">
        <v>60</v>
      </c>
      <c r="H77" t="s">
        <v>60</v>
      </c>
      <c r="I77" t="s">
        <v>39</v>
      </c>
      <c r="J77">
        <v>72527829</v>
      </c>
      <c r="K77">
        <v>72724437</v>
      </c>
      <c r="L77">
        <v>72626133</v>
      </c>
      <c r="M77">
        <v>0.81596223655565703</v>
      </c>
    </row>
    <row r="78" spans="1:13" x14ac:dyDescent="0.35">
      <c r="A78" t="s">
        <v>89</v>
      </c>
      <c r="B78">
        <v>116</v>
      </c>
      <c r="C78" t="s">
        <v>18</v>
      </c>
      <c r="E78" t="s">
        <v>26</v>
      </c>
      <c r="F78" t="s">
        <v>27</v>
      </c>
      <c r="G78" t="s">
        <v>28</v>
      </c>
      <c r="H78" t="s">
        <v>28</v>
      </c>
      <c r="I78" t="s">
        <v>43</v>
      </c>
      <c r="J78">
        <v>155984267</v>
      </c>
      <c r="K78">
        <v>156180875</v>
      </c>
      <c r="L78">
        <v>156082571</v>
      </c>
      <c r="M78">
        <v>0.81578186106227479</v>
      </c>
    </row>
    <row r="79" spans="1:13" x14ac:dyDescent="0.35">
      <c r="A79" t="s">
        <v>79</v>
      </c>
      <c r="B79">
        <v>737</v>
      </c>
      <c r="C79" t="s">
        <v>45</v>
      </c>
      <c r="D79" t="s">
        <v>58</v>
      </c>
      <c r="E79" t="s">
        <v>47</v>
      </c>
      <c r="F79" t="s">
        <v>61</v>
      </c>
      <c r="G79" t="s">
        <v>62</v>
      </c>
      <c r="H79" t="s">
        <v>62</v>
      </c>
      <c r="I79" t="s">
        <v>56</v>
      </c>
      <c r="J79">
        <v>8635497</v>
      </c>
      <c r="K79">
        <v>8832105</v>
      </c>
      <c r="L79">
        <v>8733801</v>
      </c>
      <c r="M79">
        <v>0.81570013415847897</v>
      </c>
    </row>
    <row r="80" spans="1:13" x14ac:dyDescent="0.35">
      <c r="A80" t="s">
        <v>32</v>
      </c>
      <c r="B80">
        <v>737</v>
      </c>
      <c r="C80" t="s">
        <v>45</v>
      </c>
      <c r="D80" t="s">
        <v>58</v>
      </c>
      <c r="E80" t="s">
        <v>47</v>
      </c>
      <c r="F80" t="s">
        <v>61</v>
      </c>
      <c r="G80" t="s">
        <v>62</v>
      </c>
      <c r="H80" t="s">
        <v>62</v>
      </c>
      <c r="I80" t="s">
        <v>31</v>
      </c>
      <c r="J80">
        <v>150470112</v>
      </c>
      <c r="K80">
        <v>150666720</v>
      </c>
      <c r="L80">
        <v>150568416</v>
      </c>
      <c r="M80">
        <v>0.81445838024195405</v>
      </c>
    </row>
    <row r="81" spans="1:13" x14ac:dyDescent="0.35">
      <c r="A81" t="s">
        <v>78</v>
      </c>
      <c r="B81">
        <v>116</v>
      </c>
      <c r="C81" t="s">
        <v>18</v>
      </c>
      <c r="E81" t="s">
        <v>26</v>
      </c>
      <c r="F81" t="s">
        <v>27</v>
      </c>
      <c r="G81" t="s">
        <v>28</v>
      </c>
      <c r="H81" t="s">
        <v>28</v>
      </c>
      <c r="I81" t="s">
        <v>76</v>
      </c>
      <c r="J81">
        <v>10619669</v>
      </c>
      <c r="K81">
        <v>10816277</v>
      </c>
      <c r="L81">
        <v>10717973</v>
      </c>
      <c r="M81">
        <v>0.81341725618142102</v>
      </c>
    </row>
    <row r="82" spans="1:13" x14ac:dyDescent="0.35">
      <c r="A82" t="s">
        <v>67</v>
      </c>
      <c r="B82">
        <v>729</v>
      </c>
      <c r="C82" t="s">
        <v>45</v>
      </c>
      <c r="D82" t="s">
        <v>46</v>
      </c>
      <c r="E82" t="s">
        <v>50</v>
      </c>
      <c r="F82" t="s">
        <v>51</v>
      </c>
      <c r="G82" t="s">
        <v>52</v>
      </c>
      <c r="H82" t="s">
        <v>52</v>
      </c>
      <c r="I82" t="s">
        <v>34</v>
      </c>
      <c r="J82">
        <v>169411382</v>
      </c>
      <c r="K82">
        <v>169607990</v>
      </c>
      <c r="L82">
        <v>169509686</v>
      </c>
      <c r="M82">
        <v>0.81256948559162756</v>
      </c>
    </row>
    <row r="83" spans="1:13" x14ac:dyDescent="0.35">
      <c r="A83" t="s">
        <v>23</v>
      </c>
      <c r="B83">
        <v>724</v>
      </c>
      <c r="C83" t="s">
        <v>45</v>
      </c>
      <c r="D83" t="s">
        <v>58</v>
      </c>
      <c r="E83" t="s">
        <v>50</v>
      </c>
      <c r="F83" t="s">
        <v>59</v>
      </c>
      <c r="G83" t="s">
        <v>60</v>
      </c>
      <c r="H83" t="s">
        <v>60</v>
      </c>
      <c r="I83" t="s">
        <v>24</v>
      </c>
      <c r="J83">
        <v>21339310</v>
      </c>
      <c r="K83">
        <v>21535918</v>
      </c>
      <c r="L83">
        <v>21437614</v>
      </c>
      <c r="M83">
        <v>0.809034601637311</v>
      </c>
    </row>
    <row r="84" spans="1:13" x14ac:dyDescent="0.35">
      <c r="A84" t="s">
        <v>79</v>
      </c>
      <c r="B84">
        <v>116</v>
      </c>
      <c r="C84" t="s">
        <v>18</v>
      </c>
      <c r="E84" t="s">
        <v>26</v>
      </c>
      <c r="F84" t="s">
        <v>27</v>
      </c>
      <c r="G84" t="s">
        <v>28</v>
      </c>
      <c r="H84" t="s">
        <v>28</v>
      </c>
      <c r="I84" t="s">
        <v>56</v>
      </c>
      <c r="J84">
        <v>8635497</v>
      </c>
      <c r="K84">
        <v>8832105</v>
      </c>
      <c r="L84">
        <v>8733801</v>
      </c>
      <c r="M84">
        <v>0.80764094043113688</v>
      </c>
    </row>
    <row r="85" spans="1:13" x14ac:dyDescent="0.35">
      <c r="A85" t="s">
        <v>90</v>
      </c>
      <c r="B85">
        <v>729</v>
      </c>
      <c r="C85" t="s">
        <v>45</v>
      </c>
      <c r="D85" t="s">
        <v>46</v>
      </c>
      <c r="E85" t="s">
        <v>50</v>
      </c>
      <c r="F85" t="s">
        <v>51</v>
      </c>
      <c r="G85" t="s">
        <v>52</v>
      </c>
      <c r="H85" t="s">
        <v>52</v>
      </c>
      <c r="I85" t="s">
        <v>91</v>
      </c>
      <c r="J85">
        <v>45883450</v>
      </c>
      <c r="K85">
        <v>46080058</v>
      </c>
      <c r="L85">
        <v>45981754</v>
      </c>
      <c r="M85">
        <v>0.80655419557121244</v>
      </c>
    </row>
    <row r="86" spans="1:13" x14ac:dyDescent="0.35">
      <c r="A86" t="s">
        <v>92</v>
      </c>
      <c r="B86">
        <v>729</v>
      </c>
      <c r="C86" t="s">
        <v>45</v>
      </c>
      <c r="D86" t="s">
        <v>46</v>
      </c>
      <c r="E86" t="s">
        <v>50</v>
      </c>
      <c r="F86" t="s">
        <v>51</v>
      </c>
      <c r="G86" t="s">
        <v>52</v>
      </c>
      <c r="H86" t="s">
        <v>52</v>
      </c>
      <c r="I86" t="s">
        <v>74</v>
      </c>
      <c r="J86">
        <v>23669677</v>
      </c>
      <c r="K86">
        <v>23866285</v>
      </c>
      <c r="L86">
        <v>23767981</v>
      </c>
      <c r="M86">
        <v>0.80496036460588727</v>
      </c>
    </row>
    <row r="87" spans="1:13" x14ac:dyDescent="0.35">
      <c r="A87" t="s">
        <v>93</v>
      </c>
      <c r="B87">
        <v>729</v>
      </c>
      <c r="C87" t="s">
        <v>45</v>
      </c>
      <c r="D87" t="s">
        <v>46</v>
      </c>
      <c r="E87" t="s">
        <v>50</v>
      </c>
      <c r="F87" t="s">
        <v>51</v>
      </c>
      <c r="G87" t="s">
        <v>52</v>
      </c>
      <c r="H87" t="s">
        <v>52</v>
      </c>
      <c r="I87" t="s">
        <v>94</v>
      </c>
      <c r="J87">
        <v>24858416</v>
      </c>
      <c r="K87">
        <v>25055024</v>
      </c>
      <c r="L87">
        <v>24956720</v>
      </c>
      <c r="M87">
        <v>0.80366689129742963</v>
      </c>
    </row>
    <row r="88" spans="1:13" x14ac:dyDescent="0.35">
      <c r="A88" t="s">
        <v>79</v>
      </c>
      <c r="B88">
        <v>724</v>
      </c>
      <c r="C88" t="s">
        <v>45</v>
      </c>
      <c r="D88" t="s">
        <v>58</v>
      </c>
      <c r="E88" t="s">
        <v>50</v>
      </c>
      <c r="F88" t="s">
        <v>59</v>
      </c>
      <c r="G88" t="s">
        <v>60</v>
      </c>
      <c r="H88" t="s">
        <v>60</v>
      </c>
      <c r="I88" t="s">
        <v>56</v>
      </c>
      <c r="J88">
        <v>8635497</v>
      </c>
      <c r="K88">
        <v>8832105</v>
      </c>
      <c r="L88">
        <v>8733801</v>
      </c>
      <c r="M88">
        <v>0.80215521255668576</v>
      </c>
    </row>
    <row r="89" spans="1:13" x14ac:dyDescent="0.35">
      <c r="A89" t="s">
        <v>53</v>
      </c>
      <c r="B89">
        <v>737</v>
      </c>
      <c r="C89" t="s">
        <v>45</v>
      </c>
      <c r="D89" t="s">
        <v>58</v>
      </c>
      <c r="E89" t="s">
        <v>47</v>
      </c>
      <c r="F89" t="s">
        <v>61</v>
      </c>
      <c r="G89" t="s">
        <v>62</v>
      </c>
      <c r="H89" t="s">
        <v>62</v>
      </c>
      <c r="I89" t="s">
        <v>24</v>
      </c>
      <c r="J89">
        <v>57152883</v>
      </c>
      <c r="K89">
        <v>57349491</v>
      </c>
      <c r="L89">
        <v>57251187</v>
      </c>
      <c r="M89">
        <v>0.79985190032783626</v>
      </c>
    </row>
    <row r="90" spans="1:13" x14ac:dyDescent="0.35">
      <c r="A90" t="s">
        <v>86</v>
      </c>
      <c r="B90">
        <v>116</v>
      </c>
      <c r="C90" t="s">
        <v>18</v>
      </c>
      <c r="E90" t="s">
        <v>26</v>
      </c>
      <c r="F90" t="s">
        <v>27</v>
      </c>
      <c r="G90" t="s">
        <v>28</v>
      </c>
      <c r="H90" t="s">
        <v>28</v>
      </c>
      <c r="I90" t="s">
        <v>34</v>
      </c>
      <c r="J90">
        <v>237316100</v>
      </c>
      <c r="K90">
        <v>237512708</v>
      </c>
      <c r="L90">
        <v>237414404</v>
      </c>
      <c r="M90">
        <v>0.79943153873591333</v>
      </c>
    </row>
    <row r="91" spans="1:13" x14ac:dyDescent="0.35">
      <c r="A91" t="s">
        <v>95</v>
      </c>
      <c r="B91">
        <v>729</v>
      </c>
      <c r="C91" t="s">
        <v>45</v>
      </c>
      <c r="D91" t="s">
        <v>46</v>
      </c>
      <c r="E91" t="s">
        <v>50</v>
      </c>
      <c r="F91" t="s">
        <v>51</v>
      </c>
      <c r="G91" t="s">
        <v>52</v>
      </c>
      <c r="H91" t="s">
        <v>52</v>
      </c>
      <c r="I91" t="s">
        <v>43</v>
      </c>
      <c r="J91">
        <v>229336484</v>
      </c>
      <c r="K91">
        <v>229533092</v>
      </c>
      <c r="L91">
        <v>229434788</v>
      </c>
      <c r="M91">
        <v>0.79684215840697181</v>
      </c>
    </row>
    <row r="92" spans="1:13" x14ac:dyDescent="0.35">
      <c r="A92" t="s">
        <v>96</v>
      </c>
      <c r="B92">
        <v>741</v>
      </c>
      <c r="C92" t="s">
        <v>45</v>
      </c>
      <c r="D92" t="s">
        <v>46</v>
      </c>
      <c r="E92" t="s">
        <v>47</v>
      </c>
      <c r="F92" t="s">
        <v>48</v>
      </c>
      <c r="G92" t="s">
        <v>49</v>
      </c>
      <c r="H92" t="s">
        <v>49</v>
      </c>
      <c r="I92" t="s">
        <v>97</v>
      </c>
      <c r="J92">
        <v>127192491</v>
      </c>
      <c r="K92">
        <v>127389099</v>
      </c>
      <c r="L92">
        <v>127290795</v>
      </c>
      <c r="M92">
        <v>0.79480800017265796</v>
      </c>
    </row>
    <row r="93" spans="1:13" x14ac:dyDescent="0.35">
      <c r="A93" t="s">
        <v>77</v>
      </c>
      <c r="B93">
        <v>737</v>
      </c>
      <c r="C93" t="s">
        <v>45</v>
      </c>
      <c r="D93" t="s">
        <v>58</v>
      </c>
      <c r="E93" t="s">
        <v>47</v>
      </c>
      <c r="F93" t="s">
        <v>61</v>
      </c>
      <c r="G93" t="s">
        <v>62</v>
      </c>
      <c r="H93" t="s">
        <v>62</v>
      </c>
      <c r="I93" t="s">
        <v>56</v>
      </c>
      <c r="J93">
        <v>186708753</v>
      </c>
      <c r="K93">
        <v>186905361</v>
      </c>
      <c r="L93">
        <v>186807057</v>
      </c>
      <c r="M93">
        <v>0.79345483471614786</v>
      </c>
    </row>
    <row r="94" spans="1:13" x14ac:dyDescent="0.35">
      <c r="A94" t="s">
        <v>80</v>
      </c>
      <c r="B94">
        <v>741</v>
      </c>
      <c r="C94" t="s">
        <v>45</v>
      </c>
      <c r="D94" t="s">
        <v>46</v>
      </c>
      <c r="E94" t="s">
        <v>47</v>
      </c>
      <c r="F94" t="s">
        <v>48</v>
      </c>
      <c r="G94" t="s">
        <v>49</v>
      </c>
      <c r="H94" t="s">
        <v>49</v>
      </c>
      <c r="I94" t="s">
        <v>34</v>
      </c>
      <c r="J94">
        <v>127009251</v>
      </c>
      <c r="K94">
        <v>127205859</v>
      </c>
      <c r="L94">
        <v>127107555</v>
      </c>
      <c r="M94">
        <v>0.79255941433881738</v>
      </c>
    </row>
    <row r="95" spans="1:13" x14ac:dyDescent="0.35">
      <c r="A95" t="s">
        <v>42</v>
      </c>
      <c r="B95">
        <v>741</v>
      </c>
      <c r="C95" t="s">
        <v>45</v>
      </c>
      <c r="D95" t="s">
        <v>46</v>
      </c>
      <c r="E95" t="s">
        <v>47</v>
      </c>
      <c r="F95" t="s">
        <v>48</v>
      </c>
      <c r="G95" t="s">
        <v>49</v>
      </c>
      <c r="H95" t="s">
        <v>49</v>
      </c>
      <c r="I95" t="s">
        <v>43</v>
      </c>
      <c r="J95">
        <v>53098487</v>
      </c>
      <c r="K95">
        <v>53295095</v>
      </c>
      <c r="L95">
        <v>53196791</v>
      </c>
      <c r="M95">
        <v>0.78941402136042038</v>
      </c>
    </row>
    <row r="96" spans="1:13" x14ac:dyDescent="0.35">
      <c r="A96" t="s">
        <v>98</v>
      </c>
      <c r="B96">
        <v>724</v>
      </c>
      <c r="C96" t="s">
        <v>45</v>
      </c>
      <c r="D96" t="s">
        <v>58</v>
      </c>
      <c r="E96" t="s">
        <v>50</v>
      </c>
      <c r="F96" t="s">
        <v>59</v>
      </c>
      <c r="G96" t="s">
        <v>60</v>
      </c>
      <c r="H96" t="s">
        <v>60</v>
      </c>
      <c r="I96" t="s">
        <v>37</v>
      </c>
      <c r="J96">
        <v>105375808</v>
      </c>
      <c r="K96">
        <v>105572416</v>
      </c>
      <c r="L96">
        <v>105474112</v>
      </c>
      <c r="M96">
        <v>0.78902411721485965</v>
      </c>
    </row>
    <row r="97" spans="1:13" x14ac:dyDescent="0.35">
      <c r="A97" t="s">
        <v>99</v>
      </c>
      <c r="B97">
        <v>117</v>
      </c>
      <c r="C97" t="s">
        <v>18</v>
      </c>
      <c r="E97" t="s">
        <v>19</v>
      </c>
      <c r="F97" t="s">
        <v>20</v>
      </c>
      <c r="G97" t="s">
        <v>21</v>
      </c>
      <c r="H97" t="s">
        <v>21</v>
      </c>
      <c r="I97" t="s">
        <v>37</v>
      </c>
      <c r="J97">
        <v>185044928</v>
      </c>
      <c r="K97">
        <v>185241536</v>
      </c>
      <c r="L97">
        <v>185143232</v>
      </c>
      <c r="M97">
        <v>0.78871730088350644</v>
      </c>
    </row>
    <row r="98" spans="1:13" x14ac:dyDescent="0.35">
      <c r="A98" t="s">
        <v>100</v>
      </c>
      <c r="B98">
        <v>116</v>
      </c>
      <c r="C98" t="s">
        <v>18</v>
      </c>
      <c r="E98" t="s">
        <v>26</v>
      </c>
      <c r="F98" t="s">
        <v>27</v>
      </c>
      <c r="G98" t="s">
        <v>28</v>
      </c>
      <c r="H98" t="s">
        <v>28</v>
      </c>
      <c r="I98" t="s">
        <v>101</v>
      </c>
      <c r="J98">
        <v>10451395</v>
      </c>
      <c r="K98">
        <v>10648003</v>
      </c>
      <c r="L98">
        <v>10549699</v>
      </c>
      <c r="M98">
        <v>0.78768095706357666</v>
      </c>
    </row>
    <row r="99" spans="1:13" x14ac:dyDescent="0.35">
      <c r="A99" t="s">
        <v>89</v>
      </c>
      <c r="B99">
        <v>117</v>
      </c>
      <c r="C99" t="s">
        <v>18</v>
      </c>
      <c r="E99" t="s">
        <v>19</v>
      </c>
      <c r="F99" t="s">
        <v>20</v>
      </c>
      <c r="G99" t="s">
        <v>21</v>
      </c>
      <c r="H99" t="s">
        <v>21</v>
      </c>
      <c r="I99" t="s">
        <v>43</v>
      </c>
      <c r="J99">
        <v>155984267</v>
      </c>
      <c r="K99">
        <v>156180875</v>
      </c>
      <c r="L99">
        <v>156082571</v>
      </c>
      <c r="M99">
        <v>0.78716532428169594</v>
      </c>
    </row>
    <row r="100" spans="1:13" x14ac:dyDescent="0.35">
      <c r="A100" t="s">
        <v>33</v>
      </c>
      <c r="B100">
        <v>741</v>
      </c>
      <c r="C100" t="s">
        <v>45</v>
      </c>
      <c r="D100" t="s">
        <v>46</v>
      </c>
      <c r="E100" t="s">
        <v>47</v>
      </c>
      <c r="F100" t="s">
        <v>48</v>
      </c>
      <c r="G100" t="s">
        <v>49</v>
      </c>
      <c r="H100" t="s">
        <v>49</v>
      </c>
      <c r="I100" t="s">
        <v>34</v>
      </c>
      <c r="J100">
        <v>96167854</v>
      </c>
      <c r="K100">
        <v>96364462</v>
      </c>
      <c r="L100">
        <v>96266158</v>
      </c>
      <c r="M100">
        <v>0.78704674319167189</v>
      </c>
    </row>
    <row r="101" spans="1:13" x14ac:dyDescent="0.35">
      <c r="A101" t="s">
        <v>102</v>
      </c>
      <c r="B101">
        <v>729</v>
      </c>
      <c r="C101" t="s">
        <v>45</v>
      </c>
      <c r="D101" t="s">
        <v>46</v>
      </c>
      <c r="E101" t="s">
        <v>50</v>
      </c>
      <c r="F101" t="s">
        <v>51</v>
      </c>
      <c r="G101" t="s">
        <v>52</v>
      </c>
      <c r="H101" t="s">
        <v>52</v>
      </c>
      <c r="I101" t="s">
        <v>37</v>
      </c>
      <c r="J101">
        <v>109204447</v>
      </c>
      <c r="K101">
        <v>109401055</v>
      </c>
      <c r="L101">
        <v>109302751</v>
      </c>
      <c r="M101">
        <v>0.78646703523616235</v>
      </c>
    </row>
    <row r="102" spans="1:13" x14ac:dyDescent="0.35">
      <c r="A102" t="s">
        <v>85</v>
      </c>
      <c r="B102">
        <v>117</v>
      </c>
      <c r="C102" t="s">
        <v>18</v>
      </c>
      <c r="E102" t="s">
        <v>19</v>
      </c>
      <c r="F102" t="s">
        <v>20</v>
      </c>
      <c r="G102" t="s">
        <v>21</v>
      </c>
      <c r="H102" t="s">
        <v>21</v>
      </c>
      <c r="I102" t="s">
        <v>24</v>
      </c>
      <c r="J102">
        <v>121528204</v>
      </c>
      <c r="K102">
        <v>121724812</v>
      </c>
      <c r="L102">
        <v>121626508</v>
      </c>
      <c r="M102">
        <v>0.78612945859681804</v>
      </c>
    </row>
    <row r="103" spans="1:13" x14ac:dyDescent="0.35">
      <c r="A103" t="s">
        <v>73</v>
      </c>
      <c r="B103">
        <v>737</v>
      </c>
      <c r="C103" t="s">
        <v>45</v>
      </c>
      <c r="D103" t="s">
        <v>58</v>
      </c>
      <c r="E103" t="s">
        <v>47</v>
      </c>
      <c r="F103" t="s">
        <v>61</v>
      </c>
      <c r="G103" t="s">
        <v>62</v>
      </c>
      <c r="H103" t="s">
        <v>62</v>
      </c>
      <c r="I103" t="s">
        <v>74</v>
      </c>
      <c r="J103">
        <v>25643839</v>
      </c>
      <c r="K103">
        <v>25840447</v>
      </c>
      <c r="L103">
        <v>25742143</v>
      </c>
      <c r="M103">
        <v>0.78536201707289977</v>
      </c>
    </row>
    <row r="104" spans="1:13" x14ac:dyDescent="0.35">
      <c r="A104" t="s">
        <v>30</v>
      </c>
      <c r="B104">
        <v>724</v>
      </c>
      <c r="C104" t="s">
        <v>45</v>
      </c>
      <c r="D104" t="s">
        <v>58</v>
      </c>
      <c r="E104" t="s">
        <v>50</v>
      </c>
      <c r="F104" t="s">
        <v>59</v>
      </c>
      <c r="G104" t="s">
        <v>60</v>
      </c>
      <c r="H104" t="s">
        <v>60</v>
      </c>
      <c r="I104" t="s">
        <v>31</v>
      </c>
      <c r="J104">
        <v>120371060</v>
      </c>
      <c r="K104">
        <v>120567668</v>
      </c>
      <c r="L104">
        <v>120469364</v>
      </c>
      <c r="M104">
        <v>0.77858635312947766</v>
      </c>
    </row>
    <row r="105" spans="1:13" x14ac:dyDescent="0.35">
      <c r="A105" t="s">
        <v>79</v>
      </c>
      <c r="B105">
        <v>729</v>
      </c>
      <c r="C105" t="s">
        <v>45</v>
      </c>
      <c r="D105" t="s">
        <v>46</v>
      </c>
      <c r="E105" t="s">
        <v>50</v>
      </c>
      <c r="F105" t="s">
        <v>51</v>
      </c>
      <c r="G105" t="s">
        <v>52</v>
      </c>
      <c r="H105" t="s">
        <v>52</v>
      </c>
      <c r="I105" t="s">
        <v>56</v>
      </c>
      <c r="J105">
        <v>8635497</v>
      </c>
      <c r="K105">
        <v>8832105</v>
      </c>
      <c r="L105">
        <v>8733801</v>
      </c>
      <c r="M105">
        <v>0.77634272406619809</v>
      </c>
    </row>
    <row r="106" spans="1:13" x14ac:dyDescent="0.35">
      <c r="A106" t="s">
        <v>103</v>
      </c>
      <c r="B106">
        <v>117</v>
      </c>
      <c r="C106" t="s">
        <v>18</v>
      </c>
      <c r="E106" t="s">
        <v>19</v>
      </c>
      <c r="F106" t="s">
        <v>20</v>
      </c>
      <c r="G106" t="s">
        <v>21</v>
      </c>
      <c r="H106" t="s">
        <v>21</v>
      </c>
      <c r="I106" t="s">
        <v>104</v>
      </c>
      <c r="J106">
        <v>35591751</v>
      </c>
      <c r="K106">
        <v>35788359</v>
      </c>
      <c r="L106">
        <v>35690055</v>
      </c>
      <c r="M106">
        <v>0.77518497016327526</v>
      </c>
    </row>
    <row r="107" spans="1:13" x14ac:dyDescent="0.35">
      <c r="A107" t="s">
        <v>105</v>
      </c>
      <c r="B107">
        <v>737</v>
      </c>
      <c r="C107" t="s">
        <v>45</v>
      </c>
      <c r="D107" t="s">
        <v>58</v>
      </c>
      <c r="E107" t="s">
        <v>47</v>
      </c>
      <c r="F107" t="s">
        <v>61</v>
      </c>
      <c r="G107" t="s">
        <v>62</v>
      </c>
      <c r="H107" t="s">
        <v>62</v>
      </c>
      <c r="I107" t="s">
        <v>72</v>
      </c>
      <c r="J107">
        <v>28780100</v>
      </c>
      <c r="K107">
        <v>28976708</v>
      </c>
      <c r="L107">
        <v>28878404</v>
      </c>
      <c r="M107">
        <v>0.77406687433359012</v>
      </c>
    </row>
    <row r="108" spans="1:13" x14ac:dyDescent="0.35">
      <c r="A108" t="s">
        <v>25</v>
      </c>
      <c r="B108">
        <v>737</v>
      </c>
      <c r="C108" t="s">
        <v>45</v>
      </c>
      <c r="D108" t="s">
        <v>58</v>
      </c>
      <c r="E108" t="s">
        <v>47</v>
      </c>
      <c r="F108" t="s">
        <v>61</v>
      </c>
      <c r="G108" t="s">
        <v>62</v>
      </c>
      <c r="H108" t="s">
        <v>62</v>
      </c>
      <c r="I108" t="s">
        <v>29</v>
      </c>
      <c r="J108">
        <v>45869035</v>
      </c>
      <c r="K108">
        <v>46065643</v>
      </c>
      <c r="L108">
        <v>45967339</v>
      </c>
      <c r="M108">
        <v>0.77346554123475797</v>
      </c>
    </row>
    <row r="109" spans="1:13" x14ac:dyDescent="0.35">
      <c r="A109" t="s">
        <v>90</v>
      </c>
      <c r="B109">
        <v>741</v>
      </c>
      <c r="C109" t="s">
        <v>45</v>
      </c>
      <c r="D109" t="s">
        <v>46</v>
      </c>
      <c r="E109" t="s">
        <v>47</v>
      </c>
      <c r="F109" t="s">
        <v>48</v>
      </c>
      <c r="G109" t="s">
        <v>49</v>
      </c>
      <c r="H109" t="s">
        <v>49</v>
      </c>
      <c r="I109" t="s">
        <v>91</v>
      </c>
      <c r="J109">
        <v>45883450</v>
      </c>
      <c r="K109">
        <v>46080058</v>
      </c>
      <c r="L109">
        <v>45981754</v>
      </c>
      <c r="M109">
        <v>0.77175396554366715</v>
      </c>
    </row>
    <row r="110" spans="1:13" x14ac:dyDescent="0.35">
      <c r="A110" t="s">
        <v>17</v>
      </c>
      <c r="B110">
        <v>741</v>
      </c>
      <c r="C110" t="s">
        <v>45</v>
      </c>
      <c r="D110" t="s">
        <v>46</v>
      </c>
      <c r="E110" t="s">
        <v>47</v>
      </c>
      <c r="F110" t="s">
        <v>48</v>
      </c>
      <c r="G110" t="s">
        <v>49</v>
      </c>
      <c r="H110" t="s">
        <v>49</v>
      </c>
      <c r="I110" t="s">
        <v>22</v>
      </c>
      <c r="J110">
        <v>64289443</v>
      </c>
      <c r="K110">
        <v>64486051</v>
      </c>
      <c r="L110">
        <v>64387747</v>
      </c>
      <c r="M110">
        <v>0.77140182922980038</v>
      </c>
    </row>
    <row r="111" spans="1:13" x14ac:dyDescent="0.35">
      <c r="A111" t="s">
        <v>57</v>
      </c>
      <c r="B111">
        <v>737</v>
      </c>
      <c r="C111" t="s">
        <v>45</v>
      </c>
      <c r="D111" t="s">
        <v>58</v>
      </c>
      <c r="E111" t="s">
        <v>47</v>
      </c>
      <c r="F111" t="s">
        <v>61</v>
      </c>
      <c r="G111" t="s">
        <v>62</v>
      </c>
      <c r="H111" t="s">
        <v>62</v>
      </c>
      <c r="I111" t="s">
        <v>56</v>
      </c>
      <c r="J111">
        <v>180769836</v>
      </c>
      <c r="K111">
        <v>180966444</v>
      </c>
      <c r="L111">
        <v>180868140</v>
      </c>
      <c r="M111">
        <v>0.76904288587710534</v>
      </c>
    </row>
    <row r="112" spans="1:13" x14ac:dyDescent="0.35">
      <c r="A112" t="s">
        <v>106</v>
      </c>
      <c r="B112">
        <v>741</v>
      </c>
      <c r="C112" t="s">
        <v>45</v>
      </c>
      <c r="D112" t="s">
        <v>46</v>
      </c>
      <c r="E112" t="s">
        <v>47</v>
      </c>
      <c r="F112" t="s">
        <v>48</v>
      </c>
      <c r="G112" t="s">
        <v>49</v>
      </c>
      <c r="H112" t="s">
        <v>49</v>
      </c>
      <c r="I112" t="s">
        <v>39</v>
      </c>
      <c r="J112">
        <v>69703575</v>
      </c>
      <c r="K112">
        <v>69900183</v>
      </c>
      <c r="L112">
        <v>69801879</v>
      </c>
      <c r="M112">
        <v>0.76896811115168517</v>
      </c>
    </row>
    <row r="113" spans="1:13" x14ac:dyDescent="0.35">
      <c r="A113" t="s">
        <v>73</v>
      </c>
      <c r="B113">
        <v>729</v>
      </c>
      <c r="C113" t="s">
        <v>45</v>
      </c>
      <c r="D113" t="s">
        <v>46</v>
      </c>
      <c r="E113" t="s">
        <v>50</v>
      </c>
      <c r="F113" t="s">
        <v>51</v>
      </c>
      <c r="G113" t="s">
        <v>52</v>
      </c>
      <c r="H113" t="s">
        <v>52</v>
      </c>
      <c r="I113" t="s">
        <v>74</v>
      </c>
      <c r="J113">
        <v>25643839</v>
      </c>
      <c r="K113">
        <v>25840447</v>
      </c>
      <c r="L113">
        <v>25742143</v>
      </c>
      <c r="M113">
        <v>0.76864513452729921</v>
      </c>
    </row>
    <row r="114" spans="1:13" x14ac:dyDescent="0.35">
      <c r="A114" t="s">
        <v>87</v>
      </c>
      <c r="B114">
        <v>117</v>
      </c>
      <c r="C114" t="s">
        <v>18</v>
      </c>
      <c r="E114" t="s">
        <v>19</v>
      </c>
      <c r="F114" t="s">
        <v>20</v>
      </c>
      <c r="G114" t="s">
        <v>21</v>
      </c>
      <c r="H114" t="s">
        <v>21</v>
      </c>
      <c r="I114" t="s">
        <v>88</v>
      </c>
      <c r="J114">
        <v>17621266</v>
      </c>
      <c r="K114">
        <v>17817874</v>
      </c>
      <c r="L114">
        <v>17719570</v>
      </c>
      <c r="M114">
        <v>0.7670871978916417</v>
      </c>
    </row>
    <row r="115" spans="1:13" x14ac:dyDescent="0.35">
      <c r="A115" t="s">
        <v>103</v>
      </c>
      <c r="B115">
        <v>741</v>
      </c>
      <c r="C115" t="s">
        <v>45</v>
      </c>
      <c r="D115" t="s">
        <v>46</v>
      </c>
      <c r="E115" t="s">
        <v>47</v>
      </c>
      <c r="F115" t="s">
        <v>48</v>
      </c>
      <c r="G115" t="s">
        <v>49</v>
      </c>
      <c r="H115" t="s">
        <v>49</v>
      </c>
      <c r="I115" t="s">
        <v>104</v>
      </c>
      <c r="J115">
        <v>35591751</v>
      </c>
      <c r="K115">
        <v>35788359</v>
      </c>
      <c r="L115">
        <v>35690055</v>
      </c>
      <c r="M115">
        <v>0.76663933650164517</v>
      </c>
    </row>
    <row r="116" spans="1:13" x14ac:dyDescent="0.35">
      <c r="A116" t="s">
        <v>107</v>
      </c>
      <c r="B116">
        <v>741</v>
      </c>
      <c r="C116" t="s">
        <v>45</v>
      </c>
      <c r="D116" t="s">
        <v>46</v>
      </c>
      <c r="E116" t="s">
        <v>47</v>
      </c>
      <c r="F116" t="s">
        <v>48</v>
      </c>
      <c r="G116" t="s">
        <v>49</v>
      </c>
      <c r="H116" t="s">
        <v>49</v>
      </c>
      <c r="I116" t="s">
        <v>56</v>
      </c>
      <c r="J116">
        <v>42587142</v>
      </c>
      <c r="K116">
        <v>42783750</v>
      </c>
      <c r="L116">
        <v>42685446</v>
      </c>
      <c r="M116">
        <v>0.76636223472103882</v>
      </c>
    </row>
    <row r="117" spans="1:13" x14ac:dyDescent="0.35">
      <c r="A117" t="s">
        <v>108</v>
      </c>
      <c r="B117">
        <v>729</v>
      </c>
      <c r="C117" t="s">
        <v>45</v>
      </c>
      <c r="D117" t="s">
        <v>46</v>
      </c>
      <c r="E117" t="s">
        <v>50</v>
      </c>
      <c r="F117" t="s">
        <v>51</v>
      </c>
      <c r="G117" t="s">
        <v>52</v>
      </c>
      <c r="H117" t="s">
        <v>52</v>
      </c>
      <c r="I117" t="s">
        <v>24</v>
      </c>
      <c r="J117">
        <v>80618607</v>
      </c>
      <c r="K117">
        <v>80815215</v>
      </c>
      <c r="L117">
        <v>80716911</v>
      </c>
      <c r="M117">
        <v>0.76526268452131796</v>
      </c>
    </row>
    <row r="118" spans="1:13" x14ac:dyDescent="0.35">
      <c r="A118" t="s">
        <v>68</v>
      </c>
      <c r="B118">
        <v>737</v>
      </c>
      <c r="C118" t="s">
        <v>45</v>
      </c>
      <c r="D118" t="s">
        <v>58</v>
      </c>
      <c r="E118" t="s">
        <v>47</v>
      </c>
      <c r="F118" t="s">
        <v>61</v>
      </c>
      <c r="G118" t="s">
        <v>62</v>
      </c>
      <c r="H118" t="s">
        <v>62</v>
      </c>
      <c r="I118" t="s">
        <v>56</v>
      </c>
      <c r="J118">
        <v>81663476</v>
      </c>
      <c r="K118">
        <v>81860084</v>
      </c>
      <c r="L118">
        <v>81761780</v>
      </c>
      <c r="M118">
        <v>0.76468322302971903</v>
      </c>
    </row>
    <row r="119" spans="1:13" x14ac:dyDescent="0.35">
      <c r="A119" t="s">
        <v>82</v>
      </c>
      <c r="B119">
        <v>117</v>
      </c>
      <c r="C119" t="s">
        <v>18</v>
      </c>
      <c r="E119" t="s">
        <v>19</v>
      </c>
      <c r="F119" t="s">
        <v>20</v>
      </c>
      <c r="G119" t="s">
        <v>21</v>
      </c>
      <c r="H119" t="s">
        <v>21</v>
      </c>
      <c r="I119" t="s">
        <v>83</v>
      </c>
      <c r="J119">
        <v>29928397</v>
      </c>
      <c r="K119">
        <v>30125005</v>
      </c>
      <c r="L119">
        <v>30026701</v>
      </c>
      <c r="M119">
        <v>0.76337680320367285</v>
      </c>
    </row>
    <row r="120" spans="1:13" x14ac:dyDescent="0.35">
      <c r="A120" t="s">
        <v>109</v>
      </c>
      <c r="B120">
        <v>741</v>
      </c>
      <c r="C120" t="s">
        <v>45</v>
      </c>
      <c r="D120" t="s">
        <v>46</v>
      </c>
      <c r="E120" t="s">
        <v>47</v>
      </c>
      <c r="F120" t="s">
        <v>48</v>
      </c>
      <c r="G120" t="s">
        <v>49</v>
      </c>
      <c r="H120" t="s">
        <v>49</v>
      </c>
      <c r="I120" t="s">
        <v>37</v>
      </c>
      <c r="J120">
        <v>3365001</v>
      </c>
      <c r="K120">
        <v>3561609</v>
      </c>
      <c r="L120">
        <v>3463305</v>
      </c>
      <c r="M120">
        <v>0.76278476277009444</v>
      </c>
    </row>
    <row r="121" spans="1:13" x14ac:dyDescent="0.35">
      <c r="A121" t="s">
        <v>38</v>
      </c>
      <c r="B121">
        <v>729</v>
      </c>
      <c r="C121" t="s">
        <v>45</v>
      </c>
      <c r="D121" t="s">
        <v>46</v>
      </c>
      <c r="E121" t="s">
        <v>50</v>
      </c>
      <c r="F121" t="s">
        <v>51</v>
      </c>
      <c r="G121" t="s">
        <v>52</v>
      </c>
      <c r="H121" t="s">
        <v>52</v>
      </c>
      <c r="I121" t="s">
        <v>39</v>
      </c>
      <c r="J121">
        <v>72527829</v>
      </c>
      <c r="K121">
        <v>72724437</v>
      </c>
      <c r="L121">
        <v>72626133</v>
      </c>
      <c r="M121">
        <v>0.76272916533004764</v>
      </c>
    </row>
    <row r="122" spans="1:13" x14ac:dyDescent="0.35">
      <c r="A122" t="s">
        <v>99</v>
      </c>
      <c r="B122">
        <v>116</v>
      </c>
      <c r="C122" t="s">
        <v>18</v>
      </c>
      <c r="E122" t="s">
        <v>26</v>
      </c>
      <c r="F122" t="s">
        <v>27</v>
      </c>
      <c r="G122" t="s">
        <v>28</v>
      </c>
      <c r="H122" t="s">
        <v>28</v>
      </c>
      <c r="I122" t="s">
        <v>37</v>
      </c>
      <c r="J122">
        <v>185044928</v>
      </c>
      <c r="K122">
        <v>185241536</v>
      </c>
      <c r="L122">
        <v>185143232</v>
      </c>
      <c r="M122">
        <v>0.76053721121900986</v>
      </c>
    </row>
    <row r="123" spans="1:13" x14ac:dyDescent="0.35">
      <c r="A123" t="s">
        <v>98</v>
      </c>
      <c r="B123">
        <v>741</v>
      </c>
      <c r="C123" t="s">
        <v>45</v>
      </c>
      <c r="D123" t="s">
        <v>46</v>
      </c>
      <c r="E123" t="s">
        <v>47</v>
      </c>
      <c r="F123" t="s">
        <v>48</v>
      </c>
      <c r="G123" t="s">
        <v>49</v>
      </c>
      <c r="H123" t="s">
        <v>49</v>
      </c>
      <c r="I123" t="s">
        <v>37</v>
      </c>
      <c r="J123">
        <v>105375808</v>
      </c>
      <c r="K123">
        <v>105572416</v>
      </c>
      <c r="L123">
        <v>105474112</v>
      </c>
      <c r="M123">
        <v>0.76051518830349463</v>
      </c>
    </row>
    <row r="124" spans="1:13" x14ac:dyDescent="0.35">
      <c r="A124" t="s">
        <v>95</v>
      </c>
      <c r="B124">
        <v>737</v>
      </c>
      <c r="C124" t="s">
        <v>45</v>
      </c>
      <c r="D124" t="s">
        <v>58</v>
      </c>
      <c r="E124" t="s">
        <v>47</v>
      </c>
      <c r="F124" t="s">
        <v>61</v>
      </c>
      <c r="G124" t="s">
        <v>62</v>
      </c>
      <c r="H124" t="s">
        <v>62</v>
      </c>
      <c r="I124" t="s">
        <v>43</v>
      </c>
      <c r="J124">
        <v>229336484</v>
      </c>
      <c r="K124">
        <v>229533092</v>
      </c>
      <c r="L124">
        <v>229434788</v>
      </c>
      <c r="M124">
        <v>0.75914518402735598</v>
      </c>
    </row>
    <row r="125" spans="1:13" x14ac:dyDescent="0.35">
      <c r="A125" t="s">
        <v>65</v>
      </c>
      <c r="B125">
        <v>116</v>
      </c>
      <c r="C125" t="s">
        <v>18</v>
      </c>
      <c r="E125" t="s">
        <v>26</v>
      </c>
      <c r="F125" t="s">
        <v>27</v>
      </c>
      <c r="G125" t="s">
        <v>28</v>
      </c>
      <c r="H125" t="s">
        <v>28</v>
      </c>
      <c r="I125" t="s">
        <v>24</v>
      </c>
      <c r="J125">
        <v>40594126</v>
      </c>
      <c r="K125">
        <v>40790734</v>
      </c>
      <c r="L125">
        <v>40692430</v>
      </c>
      <c r="M125">
        <v>0.75634219619309495</v>
      </c>
    </row>
    <row r="126" spans="1:13" x14ac:dyDescent="0.35">
      <c r="A126" t="s">
        <v>30</v>
      </c>
      <c r="B126">
        <v>729</v>
      </c>
      <c r="C126" t="s">
        <v>45</v>
      </c>
      <c r="D126" t="s">
        <v>46</v>
      </c>
      <c r="E126" t="s">
        <v>50</v>
      </c>
      <c r="F126" t="s">
        <v>51</v>
      </c>
      <c r="G126" t="s">
        <v>52</v>
      </c>
      <c r="H126" t="s">
        <v>52</v>
      </c>
      <c r="I126" t="s">
        <v>31</v>
      </c>
      <c r="J126">
        <v>120371060</v>
      </c>
      <c r="K126">
        <v>120567668</v>
      </c>
      <c r="L126">
        <v>120469364</v>
      </c>
      <c r="M126">
        <v>0.75547705594300218</v>
      </c>
    </row>
    <row r="127" spans="1:13" x14ac:dyDescent="0.35">
      <c r="A127" t="s">
        <v>106</v>
      </c>
      <c r="B127">
        <v>737</v>
      </c>
      <c r="C127" t="s">
        <v>45</v>
      </c>
      <c r="D127" t="s">
        <v>58</v>
      </c>
      <c r="E127" t="s">
        <v>47</v>
      </c>
      <c r="F127" t="s">
        <v>61</v>
      </c>
      <c r="G127" t="s">
        <v>62</v>
      </c>
      <c r="H127" t="s">
        <v>62</v>
      </c>
      <c r="I127" t="s">
        <v>39</v>
      </c>
      <c r="J127">
        <v>69703575</v>
      </c>
      <c r="K127">
        <v>69900183</v>
      </c>
      <c r="L127">
        <v>69801879</v>
      </c>
      <c r="M127">
        <v>0.75443182252171559</v>
      </c>
    </row>
    <row r="128" spans="1:13" x14ac:dyDescent="0.35">
      <c r="A128" t="s">
        <v>36</v>
      </c>
      <c r="B128">
        <v>724</v>
      </c>
      <c r="C128" t="s">
        <v>45</v>
      </c>
      <c r="D128" t="s">
        <v>58</v>
      </c>
      <c r="E128" t="s">
        <v>50</v>
      </c>
      <c r="F128" t="s">
        <v>59</v>
      </c>
      <c r="G128" t="s">
        <v>60</v>
      </c>
      <c r="H128" t="s">
        <v>60</v>
      </c>
      <c r="I128" t="s">
        <v>37</v>
      </c>
      <c r="J128">
        <v>1757927</v>
      </c>
      <c r="K128">
        <v>1954535</v>
      </c>
      <c r="L128">
        <v>1856231</v>
      </c>
      <c r="M128">
        <v>0.75302497952628844</v>
      </c>
    </row>
    <row r="129" spans="1:13" x14ac:dyDescent="0.35">
      <c r="A129" t="s">
        <v>23</v>
      </c>
      <c r="B129">
        <v>737</v>
      </c>
      <c r="C129" t="s">
        <v>45</v>
      </c>
      <c r="D129" t="s">
        <v>58</v>
      </c>
      <c r="E129" t="s">
        <v>47</v>
      </c>
      <c r="F129" t="s">
        <v>61</v>
      </c>
      <c r="G129" t="s">
        <v>62</v>
      </c>
      <c r="H129" t="s">
        <v>62</v>
      </c>
      <c r="I129" t="s">
        <v>24</v>
      </c>
      <c r="J129">
        <v>21339310</v>
      </c>
      <c r="K129">
        <v>21535918</v>
      </c>
      <c r="L129">
        <v>21437614</v>
      </c>
      <c r="M129">
        <v>0.75235062910461104</v>
      </c>
    </row>
    <row r="130" spans="1:13" x14ac:dyDescent="0.35">
      <c r="A130" t="s">
        <v>92</v>
      </c>
      <c r="B130">
        <v>741</v>
      </c>
      <c r="C130" t="s">
        <v>45</v>
      </c>
      <c r="D130" t="s">
        <v>46</v>
      </c>
      <c r="E130" t="s">
        <v>47</v>
      </c>
      <c r="F130" t="s">
        <v>48</v>
      </c>
      <c r="G130" t="s">
        <v>49</v>
      </c>
      <c r="H130" t="s">
        <v>49</v>
      </c>
      <c r="I130" t="s">
        <v>74</v>
      </c>
      <c r="J130">
        <v>23669677</v>
      </c>
      <c r="K130">
        <v>23866285</v>
      </c>
      <c r="L130">
        <v>23767981</v>
      </c>
      <c r="M130">
        <v>0.7503968490926598</v>
      </c>
    </row>
    <row r="131" spans="1:13" x14ac:dyDescent="0.35">
      <c r="A131" t="s">
        <v>25</v>
      </c>
      <c r="B131">
        <v>741</v>
      </c>
      <c r="C131" t="s">
        <v>45</v>
      </c>
      <c r="D131" t="s">
        <v>46</v>
      </c>
      <c r="E131" t="s">
        <v>47</v>
      </c>
      <c r="F131" t="s">
        <v>48</v>
      </c>
      <c r="G131" t="s">
        <v>49</v>
      </c>
      <c r="H131" t="s">
        <v>49</v>
      </c>
      <c r="I131" t="s">
        <v>29</v>
      </c>
      <c r="J131">
        <v>45869035</v>
      </c>
      <c r="K131">
        <v>46065643</v>
      </c>
      <c r="L131">
        <v>45967339</v>
      </c>
      <c r="M131">
        <v>0.75027247567626232</v>
      </c>
    </row>
    <row r="132" spans="1:13" x14ac:dyDescent="0.35">
      <c r="A132" t="s">
        <v>98</v>
      </c>
      <c r="B132">
        <v>729</v>
      </c>
      <c r="C132" t="s">
        <v>45</v>
      </c>
      <c r="D132" t="s">
        <v>46</v>
      </c>
      <c r="E132" t="s">
        <v>50</v>
      </c>
      <c r="F132" t="s">
        <v>51</v>
      </c>
      <c r="G132" t="s">
        <v>52</v>
      </c>
      <c r="H132" t="s">
        <v>52</v>
      </c>
      <c r="I132" t="s">
        <v>37</v>
      </c>
      <c r="J132">
        <v>105375808</v>
      </c>
      <c r="K132">
        <v>105572416</v>
      </c>
      <c r="L132">
        <v>105474112</v>
      </c>
      <c r="M132">
        <v>0.7488321280784378</v>
      </c>
    </row>
    <row r="133" spans="1:13" x14ac:dyDescent="0.35">
      <c r="A133" t="s">
        <v>98</v>
      </c>
      <c r="B133">
        <v>737</v>
      </c>
      <c r="C133" t="s">
        <v>45</v>
      </c>
      <c r="D133" t="s">
        <v>58</v>
      </c>
      <c r="E133" t="s">
        <v>47</v>
      </c>
      <c r="F133" t="s">
        <v>61</v>
      </c>
      <c r="G133" t="s">
        <v>62</v>
      </c>
      <c r="H133" t="s">
        <v>62</v>
      </c>
      <c r="I133" t="s">
        <v>37</v>
      </c>
      <c r="J133">
        <v>105375808</v>
      </c>
      <c r="K133">
        <v>105572416</v>
      </c>
      <c r="L133">
        <v>105474112</v>
      </c>
      <c r="M133">
        <v>0.74858246323475675</v>
      </c>
    </row>
    <row r="134" spans="1:13" x14ac:dyDescent="0.35">
      <c r="A134" t="s">
        <v>85</v>
      </c>
      <c r="B134">
        <v>729</v>
      </c>
      <c r="C134" t="s">
        <v>45</v>
      </c>
      <c r="D134" t="s">
        <v>46</v>
      </c>
      <c r="E134" t="s">
        <v>50</v>
      </c>
      <c r="F134" t="s">
        <v>51</v>
      </c>
      <c r="G134" t="s">
        <v>52</v>
      </c>
      <c r="H134" t="s">
        <v>52</v>
      </c>
      <c r="I134" t="s">
        <v>24</v>
      </c>
      <c r="J134">
        <v>121528204</v>
      </c>
      <c r="K134">
        <v>121724812</v>
      </c>
      <c r="L134">
        <v>121626508</v>
      </c>
      <c r="M134">
        <v>0.74840810212517384</v>
      </c>
    </row>
    <row r="135" spans="1:13" x14ac:dyDescent="0.35">
      <c r="A135" t="s">
        <v>109</v>
      </c>
      <c r="B135">
        <v>729</v>
      </c>
      <c r="C135" t="s">
        <v>45</v>
      </c>
      <c r="D135" t="s">
        <v>46</v>
      </c>
      <c r="E135" t="s">
        <v>50</v>
      </c>
      <c r="F135" t="s">
        <v>51</v>
      </c>
      <c r="G135" t="s">
        <v>52</v>
      </c>
      <c r="H135" t="s">
        <v>52</v>
      </c>
      <c r="I135" t="s">
        <v>37</v>
      </c>
      <c r="J135">
        <v>3365001</v>
      </c>
      <c r="K135">
        <v>3561609</v>
      </c>
      <c r="L135">
        <v>3463305</v>
      </c>
      <c r="M135">
        <v>0.74764593916252098</v>
      </c>
    </row>
    <row r="136" spans="1:13" x14ac:dyDescent="0.35">
      <c r="A136" t="s">
        <v>73</v>
      </c>
      <c r="B136">
        <v>117</v>
      </c>
      <c r="C136" t="s">
        <v>18</v>
      </c>
      <c r="E136" t="s">
        <v>19</v>
      </c>
      <c r="F136" t="s">
        <v>20</v>
      </c>
      <c r="G136" t="s">
        <v>21</v>
      </c>
      <c r="H136" t="s">
        <v>21</v>
      </c>
      <c r="I136" t="s">
        <v>74</v>
      </c>
      <c r="J136">
        <v>25643839</v>
      </c>
      <c r="K136">
        <v>25840447</v>
      </c>
      <c r="L136">
        <v>25742143</v>
      </c>
      <c r="M136">
        <v>0.74670475459456453</v>
      </c>
    </row>
    <row r="137" spans="1:13" x14ac:dyDescent="0.35">
      <c r="A137" t="s">
        <v>17</v>
      </c>
      <c r="B137">
        <v>729</v>
      </c>
      <c r="C137" t="s">
        <v>45</v>
      </c>
      <c r="D137" t="s">
        <v>46</v>
      </c>
      <c r="E137" t="s">
        <v>50</v>
      </c>
      <c r="F137" t="s">
        <v>51</v>
      </c>
      <c r="G137" t="s">
        <v>52</v>
      </c>
      <c r="H137" t="s">
        <v>52</v>
      </c>
      <c r="I137" t="s">
        <v>22</v>
      </c>
      <c r="J137">
        <v>64289443</v>
      </c>
      <c r="K137">
        <v>64486051</v>
      </c>
      <c r="L137">
        <v>64387747</v>
      </c>
      <c r="M137">
        <v>0.74495576485455539</v>
      </c>
    </row>
    <row r="138" spans="1:13" x14ac:dyDescent="0.35">
      <c r="A138" t="s">
        <v>81</v>
      </c>
      <c r="B138">
        <v>737</v>
      </c>
      <c r="C138" t="s">
        <v>45</v>
      </c>
      <c r="D138" t="s">
        <v>58</v>
      </c>
      <c r="E138" t="s">
        <v>47</v>
      </c>
      <c r="F138" t="s">
        <v>61</v>
      </c>
      <c r="G138" t="s">
        <v>62</v>
      </c>
      <c r="H138" t="s">
        <v>62</v>
      </c>
      <c r="I138" t="s">
        <v>43</v>
      </c>
      <c r="J138">
        <v>77880765</v>
      </c>
      <c r="K138">
        <v>78077373</v>
      </c>
      <c r="L138">
        <v>77979069</v>
      </c>
      <c r="M138">
        <v>0.74455292152159935</v>
      </c>
    </row>
    <row r="139" spans="1:13" x14ac:dyDescent="0.35">
      <c r="A139" t="s">
        <v>96</v>
      </c>
      <c r="B139">
        <v>117</v>
      </c>
      <c r="C139" t="s">
        <v>18</v>
      </c>
      <c r="E139" t="s">
        <v>19</v>
      </c>
      <c r="F139" t="s">
        <v>20</v>
      </c>
      <c r="G139" t="s">
        <v>21</v>
      </c>
      <c r="H139" t="s">
        <v>21</v>
      </c>
      <c r="I139" t="s">
        <v>97</v>
      </c>
      <c r="J139">
        <v>127192491</v>
      </c>
      <c r="K139">
        <v>127389099</v>
      </c>
      <c r="L139">
        <v>127290795</v>
      </c>
      <c r="M139">
        <v>0.74444242456465526</v>
      </c>
    </row>
    <row r="140" spans="1:13" x14ac:dyDescent="0.35">
      <c r="A140" t="s">
        <v>33</v>
      </c>
      <c r="B140">
        <v>737</v>
      </c>
      <c r="C140" t="s">
        <v>45</v>
      </c>
      <c r="D140" t="s">
        <v>58</v>
      </c>
      <c r="E140" t="s">
        <v>47</v>
      </c>
      <c r="F140" t="s">
        <v>61</v>
      </c>
      <c r="G140" t="s">
        <v>62</v>
      </c>
      <c r="H140" t="s">
        <v>62</v>
      </c>
      <c r="I140" t="s">
        <v>34</v>
      </c>
      <c r="J140">
        <v>96167854</v>
      </c>
      <c r="K140">
        <v>96364462</v>
      </c>
      <c r="L140">
        <v>96266158</v>
      </c>
      <c r="M140">
        <v>0.74356726898096581</v>
      </c>
    </row>
    <row r="141" spans="1:13" x14ac:dyDescent="0.35">
      <c r="A141" t="s">
        <v>102</v>
      </c>
      <c r="B141">
        <v>741</v>
      </c>
      <c r="C141" t="s">
        <v>45</v>
      </c>
      <c r="D141" t="s">
        <v>46</v>
      </c>
      <c r="E141" t="s">
        <v>47</v>
      </c>
      <c r="F141" t="s">
        <v>48</v>
      </c>
      <c r="G141" t="s">
        <v>49</v>
      </c>
      <c r="H141" t="s">
        <v>49</v>
      </c>
      <c r="I141" t="s">
        <v>37</v>
      </c>
      <c r="J141">
        <v>109204447</v>
      </c>
      <c r="K141">
        <v>109401055</v>
      </c>
      <c r="L141">
        <v>109302751</v>
      </c>
      <c r="M141">
        <v>0.74227029904684239</v>
      </c>
    </row>
    <row r="142" spans="1:13" x14ac:dyDescent="0.35">
      <c r="A142" t="s">
        <v>81</v>
      </c>
      <c r="B142">
        <v>116</v>
      </c>
      <c r="C142" t="s">
        <v>18</v>
      </c>
      <c r="E142" t="s">
        <v>26</v>
      </c>
      <c r="F142" t="s">
        <v>27</v>
      </c>
      <c r="G142" t="s">
        <v>28</v>
      </c>
      <c r="H142" t="s">
        <v>28</v>
      </c>
      <c r="I142" t="s">
        <v>43</v>
      </c>
      <c r="J142">
        <v>77880765</v>
      </c>
      <c r="K142">
        <v>78077373</v>
      </c>
      <c r="L142">
        <v>77979069</v>
      </c>
      <c r="M142">
        <v>0.73773109037349471</v>
      </c>
    </row>
    <row r="143" spans="1:13" x14ac:dyDescent="0.35">
      <c r="A143" t="s">
        <v>110</v>
      </c>
      <c r="B143">
        <v>116</v>
      </c>
      <c r="C143" t="s">
        <v>18</v>
      </c>
      <c r="E143" t="s">
        <v>26</v>
      </c>
      <c r="F143" t="s">
        <v>27</v>
      </c>
      <c r="G143" t="s">
        <v>28</v>
      </c>
      <c r="H143" t="s">
        <v>28</v>
      </c>
      <c r="I143" t="s">
        <v>41</v>
      </c>
      <c r="J143">
        <v>75107962</v>
      </c>
      <c r="K143">
        <v>75304570</v>
      </c>
      <c r="L143">
        <v>75206266</v>
      </c>
      <c r="M143">
        <v>0.73762816596585012</v>
      </c>
    </row>
    <row r="144" spans="1:13" x14ac:dyDescent="0.35">
      <c r="A144" t="s">
        <v>111</v>
      </c>
      <c r="B144">
        <v>729</v>
      </c>
      <c r="C144" t="s">
        <v>45</v>
      </c>
      <c r="D144" t="s">
        <v>46</v>
      </c>
      <c r="E144" t="s">
        <v>50</v>
      </c>
      <c r="F144" t="s">
        <v>51</v>
      </c>
      <c r="G144" t="s">
        <v>52</v>
      </c>
      <c r="H144" t="s">
        <v>52</v>
      </c>
      <c r="I144" t="s">
        <v>112</v>
      </c>
      <c r="J144">
        <v>34616518</v>
      </c>
      <c r="K144">
        <v>34813126</v>
      </c>
      <c r="L144">
        <v>34714822</v>
      </c>
      <c r="M144">
        <v>0.73742118024064152</v>
      </c>
    </row>
    <row r="145" spans="1:13" x14ac:dyDescent="0.35">
      <c r="A145" t="s">
        <v>71</v>
      </c>
      <c r="B145">
        <v>117</v>
      </c>
      <c r="C145" t="s">
        <v>18</v>
      </c>
      <c r="E145" t="s">
        <v>19</v>
      </c>
      <c r="F145" t="s">
        <v>20</v>
      </c>
      <c r="G145" t="s">
        <v>21</v>
      </c>
      <c r="H145" t="s">
        <v>21</v>
      </c>
      <c r="I145" t="s">
        <v>72</v>
      </c>
      <c r="J145">
        <v>1885888</v>
      </c>
      <c r="K145">
        <v>2082496</v>
      </c>
      <c r="L145">
        <v>1984192</v>
      </c>
      <c r="M145">
        <v>0.73416613927230456</v>
      </c>
    </row>
    <row r="146" spans="1:13" x14ac:dyDescent="0.35">
      <c r="A146" t="s">
        <v>80</v>
      </c>
      <c r="B146">
        <v>729</v>
      </c>
      <c r="C146" t="s">
        <v>45</v>
      </c>
      <c r="D146" t="s">
        <v>46</v>
      </c>
      <c r="E146" t="s">
        <v>50</v>
      </c>
      <c r="F146" t="s">
        <v>51</v>
      </c>
      <c r="G146" t="s">
        <v>52</v>
      </c>
      <c r="H146" t="s">
        <v>52</v>
      </c>
      <c r="I146" t="s">
        <v>34</v>
      </c>
      <c r="J146">
        <v>127009251</v>
      </c>
      <c r="K146">
        <v>127205859</v>
      </c>
      <c r="L146">
        <v>127107555</v>
      </c>
      <c r="M146">
        <v>0.73304501375171605</v>
      </c>
    </row>
    <row r="147" spans="1:13" x14ac:dyDescent="0.35">
      <c r="A147" t="s">
        <v>33</v>
      </c>
      <c r="B147">
        <v>729</v>
      </c>
      <c r="C147" t="s">
        <v>45</v>
      </c>
      <c r="D147" t="s">
        <v>46</v>
      </c>
      <c r="E147" t="s">
        <v>50</v>
      </c>
      <c r="F147" t="s">
        <v>51</v>
      </c>
      <c r="G147" t="s">
        <v>52</v>
      </c>
      <c r="H147" t="s">
        <v>52</v>
      </c>
      <c r="I147" t="s">
        <v>34</v>
      </c>
      <c r="J147">
        <v>96167854</v>
      </c>
      <c r="K147">
        <v>96364462</v>
      </c>
      <c r="L147">
        <v>96266158</v>
      </c>
      <c r="M147">
        <v>0.73252459862704877</v>
      </c>
    </row>
    <row r="148" spans="1:13" x14ac:dyDescent="0.35">
      <c r="A148" t="s">
        <v>113</v>
      </c>
      <c r="B148">
        <v>737</v>
      </c>
      <c r="C148" t="s">
        <v>45</v>
      </c>
      <c r="D148" t="s">
        <v>58</v>
      </c>
      <c r="E148" t="s">
        <v>47</v>
      </c>
      <c r="F148" t="s">
        <v>61</v>
      </c>
      <c r="G148" t="s">
        <v>62</v>
      </c>
      <c r="H148" t="s">
        <v>62</v>
      </c>
      <c r="I148" t="s">
        <v>72</v>
      </c>
      <c r="J148">
        <v>31330055</v>
      </c>
      <c r="K148">
        <v>31526663</v>
      </c>
      <c r="L148">
        <v>31428359</v>
      </c>
      <c r="M148">
        <v>0.73226659889381085</v>
      </c>
    </row>
    <row r="149" spans="1:13" x14ac:dyDescent="0.35">
      <c r="A149" t="s">
        <v>78</v>
      </c>
      <c r="B149">
        <v>741</v>
      </c>
      <c r="C149" t="s">
        <v>45</v>
      </c>
      <c r="D149" t="s">
        <v>46</v>
      </c>
      <c r="E149" t="s">
        <v>47</v>
      </c>
      <c r="F149" t="s">
        <v>48</v>
      </c>
      <c r="G149" t="s">
        <v>49</v>
      </c>
      <c r="H149" t="s">
        <v>49</v>
      </c>
      <c r="I149" t="s">
        <v>76</v>
      </c>
      <c r="J149">
        <v>10619669</v>
      </c>
      <c r="K149">
        <v>10816277</v>
      </c>
      <c r="L149">
        <v>10717973</v>
      </c>
      <c r="M149">
        <v>0.7319563864196087</v>
      </c>
    </row>
    <row r="150" spans="1:13" x14ac:dyDescent="0.35">
      <c r="A150" t="s">
        <v>69</v>
      </c>
      <c r="B150">
        <v>117</v>
      </c>
      <c r="C150" t="s">
        <v>18</v>
      </c>
      <c r="E150" t="s">
        <v>19</v>
      </c>
      <c r="F150" t="s">
        <v>20</v>
      </c>
      <c r="G150" t="s">
        <v>21</v>
      </c>
      <c r="H150" t="s">
        <v>21</v>
      </c>
      <c r="I150" t="s">
        <v>22</v>
      </c>
      <c r="J150">
        <v>33212657</v>
      </c>
      <c r="K150">
        <v>33409265</v>
      </c>
      <c r="L150">
        <v>33310961</v>
      </c>
      <c r="M150">
        <v>0.72856286633810474</v>
      </c>
    </row>
    <row r="151" spans="1:13" x14ac:dyDescent="0.35">
      <c r="A151" t="s">
        <v>86</v>
      </c>
      <c r="B151">
        <v>737</v>
      </c>
      <c r="C151" t="s">
        <v>45</v>
      </c>
      <c r="D151" t="s">
        <v>58</v>
      </c>
      <c r="E151" t="s">
        <v>47</v>
      </c>
      <c r="F151" t="s">
        <v>61</v>
      </c>
      <c r="G151" t="s">
        <v>62</v>
      </c>
      <c r="H151" t="s">
        <v>62</v>
      </c>
      <c r="I151" t="s">
        <v>34</v>
      </c>
      <c r="J151">
        <v>237316100</v>
      </c>
      <c r="K151">
        <v>237512708</v>
      </c>
      <c r="L151">
        <v>237414404</v>
      </c>
      <c r="M151">
        <v>0.72837408103507184</v>
      </c>
    </row>
    <row r="152" spans="1:13" x14ac:dyDescent="0.35">
      <c r="A152" t="s">
        <v>73</v>
      </c>
      <c r="B152">
        <v>724</v>
      </c>
      <c r="C152" t="s">
        <v>45</v>
      </c>
      <c r="D152" t="s">
        <v>58</v>
      </c>
      <c r="E152" t="s">
        <v>50</v>
      </c>
      <c r="F152" t="s">
        <v>59</v>
      </c>
      <c r="G152" t="s">
        <v>60</v>
      </c>
      <c r="H152" t="s">
        <v>60</v>
      </c>
      <c r="I152" t="s">
        <v>74</v>
      </c>
      <c r="J152">
        <v>25643839</v>
      </c>
      <c r="K152">
        <v>25840447</v>
      </c>
      <c r="L152">
        <v>25742143</v>
      </c>
      <c r="M152">
        <v>0.727620956891737</v>
      </c>
    </row>
    <row r="153" spans="1:13" x14ac:dyDescent="0.35">
      <c r="A153" t="s">
        <v>114</v>
      </c>
      <c r="B153">
        <v>737</v>
      </c>
      <c r="C153" t="s">
        <v>45</v>
      </c>
      <c r="D153" t="s">
        <v>58</v>
      </c>
      <c r="E153" t="s">
        <v>47</v>
      </c>
      <c r="F153" t="s">
        <v>61</v>
      </c>
      <c r="G153" t="s">
        <v>62</v>
      </c>
      <c r="H153" t="s">
        <v>62</v>
      </c>
      <c r="I153" t="s">
        <v>34</v>
      </c>
      <c r="J153">
        <v>219336538</v>
      </c>
      <c r="K153">
        <v>219533146</v>
      </c>
      <c r="L153">
        <v>219434842</v>
      </c>
      <c r="M153">
        <v>0.7268578117578719</v>
      </c>
    </row>
    <row r="154" spans="1:13" x14ac:dyDescent="0.35">
      <c r="A154" t="s">
        <v>93</v>
      </c>
      <c r="B154">
        <v>741</v>
      </c>
      <c r="C154" t="s">
        <v>45</v>
      </c>
      <c r="D154" t="s">
        <v>46</v>
      </c>
      <c r="E154" t="s">
        <v>47</v>
      </c>
      <c r="F154" t="s">
        <v>48</v>
      </c>
      <c r="G154" t="s">
        <v>49</v>
      </c>
      <c r="H154" t="s">
        <v>49</v>
      </c>
      <c r="I154" t="s">
        <v>94</v>
      </c>
      <c r="J154">
        <v>24858416</v>
      </c>
      <c r="K154">
        <v>25055024</v>
      </c>
      <c r="L154">
        <v>24956720</v>
      </c>
      <c r="M154">
        <v>0.72672558180770874</v>
      </c>
    </row>
    <row r="155" spans="1:13" x14ac:dyDescent="0.35">
      <c r="A155" t="s">
        <v>81</v>
      </c>
      <c r="B155">
        <v>724</v>
      </c>
      <c r="C155" t="s">
        <v>45</v>
      </c>
      <c r="D155" t="s">
        <v>58</v>
      </c>
      <c r="E155" t="s">
        <v>50</v>
      </c>
      <c r="F155" t="s">
        <v>59</v>
      </c>
      <c r="G155" t="s">
        <v>60</v>
      </c>
      <c r="H155" t="s">
        <v>60</v>
      </c>
      <c r="I155" t="s">
        <v>43</v>
      </c>
      <c r="J155">
        <v>77880765</v>
      </c>
      <c r="K155">
        <v>78077373</v>
      </c>
      <c r="L155">
        <v>77979069</v>
      </c>
      <c r="M155">
        <v>0.72499870505552422</v>
      </c>
    </row>
    <row r="156" spans="1:13" x14ac:dyDescent="0.35">
      <c r="A156" t="s">
        <v>85</v>
      </c>
      <c r="B156">
        <v>724</v>
      </c>
      <c r="C156" t="s">
        <v>45</v>
      </c>
      <c r="D156" t="s">
        <v>58</v>
      </c>
      <c r="E156" t="s">
        <v>50</v>
      </c>
      <c r="F156" t="s">
        <v>59</v>
      </c>
      <c r="G156" t="s">
        <v>60</v>
      </c>
      <c r="H156" t="s">
        <v>60</v>
      </c>
      <c r="I156" t="s">
        <v>24</v>
      </c>
      <c r="J156">
        <v>121528204</v>
      </c>
      <c r="K156">
        <v>121724812</v>
      </c>
      <c r="L156">
        <v>121626508</v>
      </c>
      <c r="M156">
        <v>0.72494078889080382</v>
      </c>
    </row>
    <row r="157" spans="1:13" x14ac:dyDescent="0.35">
      <c r="A157" t="s">
        <v>115</v>
      </c>
      <c r="B157">
        <v>116</v>
      </c>
      <c r="C157" t="s">
        <v>18</v>
      </c>
      <c r="E157" t="s">
        <v>26</v>
      </c>
      <c r="F157" t="s">
        <v>27</v>
      </c>
      <c r="G157" t="s">
        <v>28</v>
      </c>
      <c r="H157" t="s">
        <v>28</v>
      </c>
      <c r="I157" t="s">
        <v>112</v>
      </c>
      <c r="J157">
        <v>23337832</v>
      </c>
      <c r="K157">
        <v>23534440</v>
      </c>
      <c r="L157">
        <v>23436136</v>
      </c>
      <c r="M157">
        <v>0.72399782609588137</v>
      </c>
    </row>
    <row r="158" spans="1:13" x14ac:dyDescent="0.35">
      <c r="A158" t="s">
        <v>96</v>
      </c>
      <c r="B158">
        <v>737</v>
      </c>
      <c r="C158" t="s">
        <v>45</v>
      </c>
      <c r="D158" t="s">
        <v>58</v>
      </c>
      <c r="E158" t="s">
        <v>47</v>
      </c>
      <c r="F158" t="s">
        <v>61</v>
      </c>
      <c r="G158" t="s">
        <v>62</v>
      </c>
      <c r="H158" t="s">
        <v>62</v>
      </c>
      <c r="I158" t="s">
        <v>97</v>
      </c>
      <c r="J158">
        <v>127192491</v>
      </c>
      <c r="K158">
        <v>127389099</v>
      </c>
      <c r="L158">
        <v>127290795</v>
      </c>
      <c r="M158">
        <v>0.7237610755835604</v>
      </c>
    </row>
    <row r="159" spans="1:13" x14ac:dyDescent="0.35">
      <c r="A159" t="s">
        <v>103</v>
      </c>
      <c r="B159">
        <v>729</v>
      </c>
      <c r="C159" t="s">
        <v>45</v>
      </c>
      <c r="D159" t="s">
        <v>46</v>
      </c>
      <c r="E159" t="s">
        <v>50</v>
      </c>
      <c r="F159" t="s">
        <v>51</v>
      </c>
      <c r="G159" t="s">
        <v>52</v>
      </c>
      <c r="H159" t="s">
        <v>52</v>
      </c>
      <c r="I159" t="s">
        <v>104</v>
      </c>
      <c r="J159">
        <v>35591751</v>
      </c>
      <c r="K159">
        <v>35788359</v>
      </c>
      <c r="L159">
        <v>35690055</v>
      </c>
      <c r="M159">
        <v>0.72354574909314584</v>
      </c>
    </row>
    <row r="160" spans="1:13" x14ac:dyDescent="0.35">
      <c r="A160" t="s">
        <v>77</v>
      </c>
      <c r="B160">
        <v>741</v>
      </c>
      <c r="C160" t="s">
        <v>45</v>
      </c>
      <c r="D160" t="s">
        <v>46</v>
      </c>
      <c r="E160" t="s">
        <v>47</v>
      </c>
      <c r="F160" t="s">
        <v>48</v>
      </c>
      <c r="G160" t="s">
        <v>49</v>
      </c>
      <c r="H160" t="s">
        <v>49</v>
      </c>
      <c r="I160" t="s">
        <v>56</v>
      </c>
      <c r="J160">
        <v>186708753</v>
      </c>
      <c r="K160">
        <v>186905361</v>
      </c>
      <c r="L160">
        <v>186807057</v>
      </c>
      <c r="M160">
        <v>0.72138740311283567</v>
      </c>
    </row>
    <row r="161" spans="1:13" x14ac:dyDescent="0.35">
      <c r="A161" t="s">
        <v>116</v>
      </c>
      <c r="B161">
        <v>729</v>
      </c>
      <c r="C161" t="s">
        <v>45</v>
      </c>
      <c r="D161" t="s">
        <v>46</v>
      </c>
      <c r="E161" t="s">
        <v>50</v>
      </c>
      <c r="F161" t="s">
        <v>51</v>
      </c>
      <c r="G161" t="s">
        <v>52</v>
      </c>
      <c r="H161" t="s">
        <v>52</v>
      </c>
      <c r="I161" t="s">
        <v>76</v>
      </c>
      <c r="J161">
        <v>38335386</v>
      </c>
      <c r="K161">
        <v>38531994</v>
      </c>
      <c r="L161">
        <v>38433690</v>
      </c>
      <c r="M161">
        <v>0.71850389693358985</v>
      </c>
    </row>
    <row r="162" spans="1:13" x14ac:dyDescent="0.35">
      <c r="A162" t="s">
        <v>117</v>
      </c>
      <c r="B162">
        <v>741</v>
      </c>
      <c r="C162" t="s">
        <v>45</v>
      </c>
      <c r="D162" t="s">
        <v>46</v>
      </c>
      <c r="E162" t="s">
        <v>47</v>
      </c>
      <c r="F162" t="s">
        <v>48</v>
      </c>
      <c r="G162" t="s">
        <v>49</v>
      </c>
      <c r="H162" t="s">
        <v>49</v>
      </c>
      <c r="I162" t="s">
        <v>39</v>
      </c>
      <c r="J162">
        <v>119552574</v>
      </c>
      <c r="K162">
        <v>119749182</v>
      </c>
      <c r="L162">
        <v>119650878</v>
      </c>
      <c r="M162">
        <v>0.71498593194957494</v>
      </c>
    </row>
    <row r="163" spans="1:13" x14ac:dyDescent="0.35">
      <c r="A163" t="s">
        <v>113</v>
      </c>
      <c r="B163">
        <v>116</v>
      </c>
      <c r="C163" t="s">
        <v>18</v>
      </c>
      <c r="E163" t="s">
        <v>26</v>
      </c>
      <c r="F163" t="s">
        <v>27</v>
      </c>
      <c r="G163" t="s">
        <v>28</v>
      </c>
      <c r="H163" t="s">
        <v>28</v>
      </c>
      <c r="I163" t="s">
        <v>72</v>
      </c>
      <c r="J163">
        <v>31330055</v>
      </c>
      <c r="K163">
        <v>31526663</v>
      </c>
      <c r="L163">
        <v>31428359</v>
      </c>
      <c r="M163">
        <v>0.7149813162569788</v>
      </c>
    </row>
    <row r="164" spans="1:13" x14ac:dyDescent="0.35">
      <c r="A164" t="s">
        <v>32</v>
      </c>
      <c r="B164">
        <v>741</v>
      </c>
      <c r="C164" t="s">
        <v>45</v>
      </c>
      <c r="D164" t="s">
        <v>46</v>
      </c>
      <c r="E164" t="s">
        <v>47</v>
      </c>
      <c r="F164" t="s">
        <v>48</v>
      </c>
      <c r="G164" t="s">
        <v>49</v>
      </c>
      <c r="H164" t="s">
        <v>49</v>
      </c>
      <c r="I164" t="s">
        <v>31</v>
      </c>
      <c r="J164">
        <v>150470112</v>
      </c>
      <c r="K164">
        <v>150666720</v>
      </c>
      <c r="L164">
        <v>150568416</v>
      </c>
      <c r="M164">
        <v>0.71418223431565908</v>
      </c>
    </row>
    <row r="165" spans="1:13" x14ac:dyDescent="0.35">
      <c r="A165" t="s">
        <v>40</v>
      </c>
      <c r="B165">
        <v>724</v>
      </c>
      <c r="C165" t="s">
        <v>45</v>
      </c>
      <c r="D165" t="s">
        <v>58</v>
      </c>
      <c r="E165" t="s">
        <v>50</v>
      </c>
      <c r="F165" t="s">
        <v>59</v>
      </c>
      <c r="G165" t="s">
        <v>60</v>
      </c>
      <c r="H165" t="s">
        <v>60</v>
      </c>
      <c r="I165" t="s">
        <v>41</v>
      </c>
      <c r="J165">
        <v>30574708</v>
      </c>
      <c r="K165">
        <v>30771316</v>
      </c>
      <c r="L165">
        <v>30673012</v>
      </c>
      <c r="M165">
        <v>0.71347966638183391</v>
      </c>
    </row>
    <row r="166" spans="1:13" x14ac:dyDescent="0.35">
      <c r="A166" t="s">
        <v>44</v>
      </c>
      <c r="B166">
        <v>737</v>
      </c>
      <c r="C166" t="s">
        <v>45</v>
      </c>
      <c r="D166" t="s">
        <v>58</v>
      </c>
      <c r="E166" t="s">
        <v>47</v>
      </c>
      <c r="F166" t="s">
        <v>61</v>
      </c>
      <c r="G166" t="s">
        <v>62</v>
      </c>
      <c r="H166" t="s">
        <v>62</v>
      </c>
      <c r="I166" t="s">
        <v>31</v>
      </c>
      <c r="J166">
        <v>64936408</v>
      </c>
      <c r="K166">
        <v>65133016</v>
      </c>
      <c r="L166">
        <v>65034712</v>
      </c>
      <c r="M166">
        <v>0.71288676542102769</v>
      </c>
    </row>
    <row r="167" spans="1:13" x14ac:dyDescent="0.35">
      <c r="A167" t="s">
        <v>111</v>
      </c>
      <c r="B167">
        <v>737</v>
      </c>
      <c r="C167" t="s">
        <v>45</v>
      </c>
      <c r="D167" t="s">
        <v>58</v>
      </c>
      <c r="E167" t="s">
        <v>47</v>
      </c>
      <c r="F167" t="s">
        <v>61</v>
      </c>
      <c r="G167" t="s">
        <v>62</v>
      </c>
      <c r="H167" t="s">
        <v>62</v>
      </c>
      <c r="I167" t="s">
        <v>112</v>
      </c>
      <c r="J167">
        <v>34616518</v>
      </c>
      <c r="K167">
        <v>34813126</v>
      </c>
      <c r="L167">
        <v>34714822</v>
      </c>
      <c r="M167">
        <v>0.71007653906284773</v>
      </c>
    </row>
    <row r="168" spans="1:13" x14ac:dyDescent="0.35">
      <c r="A168" t="s">
        <v>57</v>
      </c>
      <c r="B168">
        <v>116</v>
      </c>
      <c r="C168" t="s">
        <v>18</v>
      </c>
      <c r="E168" t="s">
        <v>26</v>
      </c>
      <c r="F168" t="s">
        <v>27</v>
      </c>
      <c r="G168" t="s">
        <v>28</v>
      </c>
      <c r="H168" t="s">
        <v>28</v>
      </c>
      <c r="I168" t="s">
        <v>56</v>
      </c>
      <c r="J168">
        <v>180769836</v>
      </c>
      <c r="K168">
        <v>180966444</v>
      </c>
      <c r="L168">
        <v>180868140</v>
      </c>
      <c r="M168">
        <v>0.70951674604573423</v>
      </c>
    </row>
    <row r="169" spans="1:13" x14ac:dyDescent="0.35">
      <c r="A169" t="s">
        <v>118</v>
      </c>
      <c r="B169">
        <v>741</v>
      </c>
      <c r="C169" t="s">
        <v>45</v>
      </c>
      <c r="D169" t="s">
        <v>46</v>
      </c>
      <c r="E169" t="s">
        <v>47</v>
      </c>
      <c r="F169" t="s">
        <v>48</v>
      </c>
      <c r="G169" t="s">
        <v>49</v>
      </c>
      <c r="H169" t="s">
        <v>49</v>
      </c>
      <c r="I169" t="s">
        <v>76</v>
      </c>
      <c r="J169">
        <v>18963392</v>
      </c>
      <c r="K169">
        <v>19160000</v>
      </c>
      <c r="L169">
        <v>19061696</v>
      </c>
      <c r="M169">
        <v>0.7081900961892108</v>
      </c>
    </row>
    <row r="170" spans="1:13" x14ac:dyDescent="0.35">
      <c r="A170" t="s">
        <v>119</v>
      </c>
      <c r="B170">
        <v>741</v>
      </c>
      <c r="C170" t="s">
        <v>45</v>
      </c>
      <c r="D170" t="s">
        <v>46</v>
      </c>
      <c r="E170" t="s">
        <v>47</v>
      </c>
      <c r="F170" t="s">
        <v>48</v>
      </c>
      <c r="G170" t="s">
        <v>49</v>
      </c>
      <c r="H170" t="s">
        <v>49</v>
      </c>
      <c r="I170" t="s">
        <v>76</v>
      </c>
      <c r="J170">
        <v>55051046</v>
      </c>
      <c r="K170">
        <v>55247654</v>
      </c>
      <c r="L170">
        <v>55149350</v>
      </c>
      <c r="M170">
        <v>0.70794376099046252</v>
      </c>
    </row>
    <row r="171" spans="1:13" x14ac:dyDescent="0.35">
      <c r="A171" t="s">
        <v>85</v>
      </c>
      <c r="B171">
        <v>741</v>
      </c>
      <c r="C171" t="s">
        <v>45</v>
      </c>
      <c r="D171" t="s">
        <v>46</v>
      </c>
      <c r="E171" t="s">
        <v>47</v>
      </c>
      <c r="F171" t="s">
        <v>48</v>
      </c>
      <c r="G171" t="s">
        <v>49</v>
      </c>
      <c r="H171" t="s">
        <v>49</v>
      </c>
      <c r="I171" t="s">
        <v>24</v>
      </c>
      <c r="J171">
        <v>121528204</v>
      </c>
      <c r="K171">
        <v>121724812</v>
      </c>
      <c r="L171">
        <v>121626508</v>
      </c>
      <c r="M171">
        <v>0.70723544831473384</v>
      </c>
    </row>
    <row r="172" spans="1:13" x14ac:dyDescent="0.35">
      <c r="A172" t="s">
        <v>87</v>
      </c>
      <c r="B172">
        <v>741</v>
      </c>
      <c r="C172" t="s">
        <v>45</v>
      </c>
      <c r="D172" t="s">
        <v>46</v>
      </c>
      <c r="E172" t="s">
        <v>47</v>
      </c>
      <c r="F172" t="s">
        <v>48</v>
      </c>
      <c r="G172" t="s">
        <v>49</v>
      </c>
      <c r="H172" t="s">
        <v>49</v>
      </c>
      <c r="I172" t="s">
        <v>88</v>
      </c>
      <c r="J172">
        <v>17621266</v>
      </c>
      <c r="K172">
        <v>17817874</v>
      </c>
      <c r="L172">
        <v>17719570</v>
      </c>
      <c r="M172">
        <v>0.70685455519612694</v>
      </c>
    </row>
    <row r="173" spans="1:13" x14ac:dyDescent="0.35">
      <c r="A173" t="s">
        <v>111</v>
      </c>
      <c r="B173">
        <v>741</v>
      </c>
      <c r="C173" t="s">
        <v>45</v>
      </c>
      <c r="D173" t="s">
        <v>46</v>
      </c>
      <c r="E173" t="s">
        <v>47</v>
      </c>
      <c r="F173" t="s">
        <v>48</v>
      </c>
      <c r="G173" t="s">
        <v>49</v>
      </c>
      <c r="H173" t="s">
        <v>49</v>
      </c>
      <c r="I173" t="s">
        <v>112</v>
      </c>
      <c r="J173">
        <v>34616518</v>
      </c>
      <c r="K173">
        <v>34813126</v>
      </c>
      <c r="L173">
        <v>34714822</v>
      </c>
      <c r="M173">
        <v>0.70611194438313296</v>
      </c>
    </row>
    <row r="174" spans="1:13" x14ac:dyDescent="0.35">
      <c r="A174" t="s">
        <v>71</v>
      </c>
      <c r="B174">
        <v>741</v>
      </c>
      <c r="C174" t="s">
        <v>45</v>
      </c>
      <c r="D174" t="s">
        <v>46</v>
      </c>
      <c r="E174" t="s">
        <v>47</v>
      </c>
      <c r="F174" t="s">
        <v>48</v>
      </c>
      <c r="G174" t="s">
        <v>49</v>
      </c>
      <c r="H174" t="s">
        <v>49</v>
      </c>
      <c r="I174" t="s">
        <v>72</v>
      </c>
      <c r="J174">
        <v>1885888</v>
      </c>
      <c r="K174">
        <v>2082496</v>
      </c>
      <c r="L174">
        <v>1984192</v>
      </c>
      <c r="M174">
        <v>0.70563375527133865</v>
      </c>
    </row>
    <row r="175" spans="1:13" x14ac:dyDescent="0.35">
      <c r="A175" t="s">
        <v>68</v>
      </c>
      <c r="B175">
        <v>724</v>
      </c>
      <c r="C175" t="s">
        <v>45</v>
      </c>
      <c r="D175" t="s">
        <v>58</v>
      </c>
      <c r="E175" t="s">
        <v>50</v>
      </c>
      <c r="F175" t="s">
        <v>59</v>
      </c>
      <c r="G175" t="s">
        <v>60</v>
      </c>
      <c r="H175" t="s">
        <v>60</v>
      </c>
      <c r="I175" t="s">
        <v>56</v>
      </c>
      <c r="J175">
        <v>81663476</v>
      </c>
      <c r="K175">
        <v>81860084</v>
      </c>
      <c r="L175">
        <v>81761780</v>
      </c>
      <c r="M175">
        <v>0.70552056340461433</v>
      </c>
    </row>
    <row r="176" spans="1:13" x14ac:dyDescent="0.35">
      <c r="A176" t="s">
        <v>120</v>
      </c>
      <c r="B176">
        <v>737</v>
      </c>
      <c r="C176" t="s">
        <v>45</v>
      </c>
      <c r="D176" t="s">
        <v>58</v>
      </c>
      <c r="E176" t="s">
        <v>47</v>
      </c>
      <c r="F176" t="s">
        <v>61</v>
      </c>
      <c r="G176" t="s">
        <v>62</v>
      </c>
      <c r="H176" t="s">
        <v>62</v>
      </c>
      <c r="I176" t="s">
        <v>88</v>
      </c>
      <c r="J176">
        <v>1740676</v>
      </c>
      <c r="K176">
        <v>1937284</v>
      </c>
      <c r="L176">
        <v>1838980</v>
      </c>
      <c r="M176">
        <v>0.70397072146387452</v>
      </c>
    </row>
    <row r="177" spans="1:13" x14ac:dyDescent="0.35">
      <c r="A177" t="s">
        <v>17</v>
      </c>
      <c r="B177">
        <v>737</v>
      </c>
      <c r="C177" t="s">
        <v>45</v>
      </c>
      <c r="D177" t="s">
        <v>58</v>
      </c>
      <c r="E177" t="s">
        <v>47</v>
      </c>
      <c r="F177" t="s">
        <v>61</v>
      </c>
      <c r="G177" t="s">
        <v>62</v>
      </c>
      <c r="H177" t="s">
        <v>62</v>
      </c>
      <c r="I177" t="s">
        <v>22</v>
      </c>
      <c r="J177">
        <v>64289443</v>
      </c>
      <c r="K177">
        <v>64486051</v>
      </c>
      <c r="L177">
        <v>64387747</v>
      </c>
      <c r="M177">
        <v>0.7033873812976329</v>
      </c>
    </row>
    <row r="178" spans="1:13" x14ac:dyDescent="0.35">
      <c r="A178" t="s">
        <v>121</v>
      </c>
      <c r="B178">
        <v>729</v>
      </c>
      <c r="C178" t="s">
        <v>45</v>
      </c>
      <c r="D178" t="s">
        <v>46</v>
      </c>
      <c r="E178" t="s">
        <v>50</v>
      </c>
      <c r="F178" t="s">
        <v>51</v>
      </c>
      <c r="G178" t="s">
        <v>52</v>
      </c>
      <c r="H178" t="s">
        <v>52</v>
      </c>
      <c r="I178" t="s">
        <v>39</v>
      </c>
      <c r="J178">
        <v>17519125</v>
      </c>
      <c r="K178">
        <v>17715733</v>
      </c>
      <c r="L178">
        <v>17617429</v>
      </c>
      <c r="M178">
        <v>0.70302419040561659</v>
      </c>
    </row>
    <row r="179" spans="1:13" x14ac:dyDescent="0.35">
      <c r="A179" t="s">
        <v>110</v>
      </c>
      <c r="B179">
        <v>741</v>
      </c>
      <c r="C179" t="s">
        <v>45</v>
      </c>
      <c r="D179" t="s">
        <v>46</v>
      </c>
      <c r="E179" t="s">
        <v>47</v>
      </c>
      <c r="F179" t="s">
        <v>48</v>
      </c>
      <c r="G179" t="s">
        <v>49</v>
      </c>
      <c r="H179" t="s">
        <v>49</v>
      </c>
      <c r="I179" t="s">
        <v>41</v>
      </c>
      <c r="J179">
        <v>75107962</v>
      </c>
      <c r="K179">
        <v>75304570</v>
      </c>
      <c r="L179">
        <v>75206266</v>
      </c>
      <c r="M179">
        <v>0.70082424608610683</v>
      </c>
    </row>
    <row r="180" spans="1:13" x14ac:dyDescent="0.35">
      <c r="A180" t="s">
        <v>81</v>
      </c>
      <c r="B180">
        <v>741</v>
      </c>
      <c r="C180" t="s">
        <v>45</v>
      </c>
      <c r="D180" t="s">
        <v>46</v>
      </c>
      <c r="E180" t="s">
        <v>47</v>
      </c>
      <c r="F180" t="s">
        <v>48</v>
      </c>
      <c r="G180" t="s">
        <v>49</v>
      </c>
      <c r="H180" t="s">
        <v>49</v>
      </c>
      <c r="I180" t="s">
        <v>43</v>
      </c>
      <c r="J180">
        <v>77880765</v>
      </c>
      <c r="K180">
        <v>78077373</v>
      </c>
      <c r="L180">
        <v>77979069</v>
      </c>
      <c r="M180">
        <v>0.69966632133441553</v>
      </c>
    </row>
    <row r="181" spans="1:13" x14ac:dyDescent="0.35">
      <c r="A181" t="s">
        <v>96</v>
      </c>
      <c r="B181">
        <v>116</v>
      </c>
      <c r="C181" t="s">
        <v>18</v>
      </c>
      <c r="E181" t="s">
        <v>26</v>
      </c>
      <c r="F181" t="s">
        <v>27</v>
      </c>
      <c r="G181" t="s">
        <v>28</v>
      </c>
      <c r="H181" t="s">
        <v>28</v>
      </c>
      <c r="I181" t="s">
        <v>97</v>
      </c>
      <c r="J181">
        <v>127192491</v>
      </c>
      <c r="K181">
        <v>127389099</v>
      </c>
      <c r="L181">
        <v>127290795</v>
      </c>
      <c r="M181">
        <v>0.69875156445066255</v>
      </c>
    </row>
    <row r="182" spans="1:13" x14ac:dyDescent="0.35">
      <c r="A182" t="s">
        <v>122</v>
      </c>
      <c r="B182">
        <v>741</v>
      </c>
      <c r="C182" t="s">
        <v>45</v>
      </c>
      <c r="D182" t="s">
        <v>46</v>
      </c>
      <c r="E182" t="s">
        <v>47</v>
      </c>
      <c r="F182" t="s">
        <v>48</v>
      </c>
      <c r="G182" t="s">
        <v>49</v>
      </c>
      <c r="H182" t="s">
        <v>49</v>
      </c>
      <c r="I182" t="s">
        <v>72</v>
      </c>
      <c r="J182">
        <v>628649</v>
      </c>
      <c r="K182">
        <v>825257</v>
      </c>
      <c r="L182">
        <v>726953</v>
      </c>
      <c r="M182">
        <v>0.69404051518698207</v>
      </c>
    </row>
    <row r="183" spans="1:13" x14ac:dyDescent="0.35">
      <c r="A183" t="s">
        <v>96</v>
      </c>
      <c r="B183">
        <v>729</v>
      </c>
      <c r="C183" t="s">
        <v>45</v>
      </c>
      <c r="D183" t="s">
        <v>46</v>
      </c>
      <c r="E183" t="s">
        <v>50</v>
      </c>
      <c r="F183" t="s">
        <v>51</v>
      </c>
      <c r="G183" t="s">
        <v>52</v>
      </c>
      <c r="H183" t="s">
        <v>52</v>
      </c>
      <c r="I183" t="s">
        <v>97</v>
      </c>
      <c r="J183">
        <v>127192491</v>
      </c>
      <c r="K183">
        <v>127389099</v>
      </c>
      <c r="L183">
        <v>127290795</v>
      </c>
      <c r="M183">
        <v>0.69353299527236389</v>
      </c>
    </row>
    <row r="184" spans="1:13" x14ac:dyDescent="0.35">
      <c r="A184" t="s">
        <v>102</v>
      </c>
      <c r="B184">
        <v>737</v>
      </c>
      <c r="C184" t="s">
        <v>45</v>
      </c>
      <c r="D184" t="s">
        <v>58</v>
      </c>
      <c r="E184" t="s">
        <v>47</v>
      </c>
      <c r="F184" t="s">
        <v>61</v>
      </c>
      <c r="G184" t="s">
        <v>62</v>
      </c>
      <c r="H184" t="s">
        <v>62</v>
      </c>
      <c r="I184" t="s">
        <v>37</v>
      </c>
      <c r="J184">
        <v>109204447</v>
      </c>
      <c r="K184">
        <v>109401055</v>
      </c>
      <c r="L184">
        <v>109302751</v>
      </c>
      <c r="M184">
        <v>0.69300153182593605</v>
      </c>
    </row>
    <row r="185" spans="1:13" x14ac:dyDescent="0.35">
      <c r="A185" t="s">
        <v>113</v>
      </c>
      <c r="B185">
        <v>741</v>
      </c>
      <c r="C185" t="s">
        <v>45</v>
      </c>
      <c r="D185" t="s">
        <v>46</v>
      </c>
      <c r="E185" t="s">
        <v>47</v>
      </c>
      <c r="F185" t="s">
        <v>48</v>
      </c>
      <c r="G185" t="s">
        <v>49</v>
      </c>
      <c r="H185" t="s">
        <v>49</v>
      </c>
      <c r="I185" t="s">
        <v>72</v>
      </c>
      <c r="J185">
        <v>31330055</v>
      </c>
      <c r="K185">
        <v>31526663</v>
      </c>
      <c r="L185">
        <v>31428359</v>
      </c>
      <c r="M185">
        <v>0.68965088460460244</v>
      </c>
    </row>
    <row r="186" spans="1:13" x14ac:dyDescent="0.35">
      <c r="A186" t="s">
        <v>53</v>
      </c>
      <c r="B186">
        <v>741</v>
      </c>
      <c r="C186" t="s">
        <v>45</v>
      </c>
      <c r="D186" t="s">
        <v>46</v>
      </c>
      <c r="E186" t="s">
        <v>47</v>
      </c>
      <c r="F186" t="s">
        <v>48</v>
      </c>
      <c r="G186" t="s">
        <v>49</v>
      </c>
      <c r="H186" t="s">
        <v>49</v>
      </c>
      <c r="I186" t="s">
        <v>24</v>
      </c>
      <c r="J186">
        <v>57152883</v>
      </c>
      <c r="K186">
        <v>57349491</v>
      </c>
      <c r="L186">
        <v>57251187</v>
      </c>
      <c r="M186">
        <v>0.68945473287828674</v>
      </c>
    </row>
    <row r="187" spans="1:13" x14ac:dyDescent="0.35">
      <c r="A187" t="s">
        <v>110</v>
      </c>
      <c r="B187">
        <v>737</v>
      </c>
      <c r="C187" t="s">
        <v>45</v>
      </c>
      <c r="D187" t="s">
        <v>58</v>
      </c>
      <c r="E187" t="s">
        <v>47</v>
      </c>
      <c r="F187" t="s">
        <v>61</v>
      </c>
      <c r="G187" t="s">
        <v>62</v>
      </c>
      <c r="H187" t="s">
        <v>62</v>
      </c>
      <c r="I187" t="s">
        <v>41</v>
      </c>
      <c r="J187">
        <v>75107962</v>
      </c>
      <c r="K187">
        <v>75304570</v>
      </c>
      <c r="L187">
        <v>75206266</v>
      </c>
      <c r="M187">
        <v>0.68853644067929698</v>
      </c>
    </row>
    <row r="188" spans="1:13" x14ac:dyDescent="0.35">
      <c r="A188" t="s">
        <v>123</v>
      </c>
      <c r="B188">
        <v>117</v>
      </c>
      <c r="C188" t="s">
        <v>18</v>
      </c>
      <c r="E188" t="s">
        <v>19</v>
      </c>
      <c r="F188" t="s">
        <v>20</v>
      </c>
      <c r="G188" t="s">
        <v>21</v>
      </c>
      <c r="H188" t="s">
        <v>21</v>
      </c>
      <c r="I188" t="s">
        <v>39</v>
      </c>
      <c r="J188">
        <v>67989592</v>
      </c>
      <c r="K188">
        <v>68186200</v>
      </c>
      <c r="L188">
        <v>68087896</v>
      </c>
      <c r="M188">
        <v>0.68722573153814981</v>
      </c>
    </row>
    <row r="189" spans="1:13" x14ac:dyDescent="0.35">
      <c r="A189" t="s">
        <v>124</v>
      </c>
      <c r="B189">
        <v>729</v>
      </c>
      <c r="C189" t="s">
        <v>45</v>
      </c>
      <c r="D189" t="s">
        <v>46</v>
      </c>
      <c r="E189" t="s">
        <v>50</v>
      </c>
      <c r="F189" t="s">
        <v>51</v>
      </c>
      <c r="G189" t="s">
        <v>52</v>
      </c>
      <c r="H189" t="s">
        <v>52</v>
      </c>
      <c r="I189" t="s">
        <v>83</v>
      </c>
      <c r="J189">
        <v>128732007</v>
      </c>
      <c r="K189">
        <v>128928615</v>
      </c>
      <c r="L189">
        <v>128830311</v>
      </c>
      <c r="M189">
        <v>0.68668278940939664</v>
      </c>
    </row>
    <row r="190" spans="1:13" x14ac:dyDescent="0.35">
      <c r="A190" t="s">
        <v>122</v>
      </c>
      <c r="B190">
        <v>729</v>
      </c>
      <c r="C190" t="s">
        <v>45</v>
      </c>
      <c r="D190" t="s">
        <v>46</v>
      </c>
      <c r="E190" t="s">
        <v>50</v>
      </c>
      <c r="F190" t="s">
        <v>51</v>
      </c>
      <c r="G190" t="s">
        <v>52</v>
      </c>
      <c r="H190" t="s">
        <v>52</v>
      </c>
      <c r="I190" t="s">
        <v>72</v>
      </c>
      <c r="J190">
        <v>628649</v>
      </c>
      <c r="K190">
        <v>825257</v>
      </c>
      <c r="L190">
        <v>726953</v>
      </c>
      <c r="M190">
        <v>0.68184786352887716</v>
      </c>
    </row>
    <row r="191" spans="1:13" x14ac:dyDescent="0.35">
      <c r="A191" t="s">
        <v>87</v>
      </c>
      <c r="B191">
        <v>729</v>
      </c>
      <c r="C191" t="s">
        <v>45</v>
      </c>
      <c r="D191" t="s">
        <v>46</v>
      </c>
      <c r="E191" t="s">
        <v>50</v>
      </c>
      <c r="F191" t="s">
        <v>51</v>
      </c>
      <c r="G191" t="s">
        <v>52</v>
      </c>
      <c r="H191" t="s">
        <v>52</v>
      </c>
      <c r="I191" t="s">
        <v>88</v>
      </c>
      <c r="J191">
        <v>17621266</v>
      </c>
      <c r="K191">
        <v>17817874</v>
      </c>
      <c r="L191">
        <v>17719570</v>
      </c>
      <c r="M191">
        <v>0.68166194896124821</v>
      </c>
    </row>
    <row r="192" spans="1:13" x14ac:dyDescent="0.35">
      <c r="A192" t="s">
        <v>125</v>
      </c>
      <c r="B192">
        <v>741</v>
      </c>
      <c r="C192" t="s">
        <v>45</v>
      </c>
      <c r="D192" t="s">
        <v>46</v>
      </c>
      <c r="E192" t="s">
        <v>47</v>
      </c>
      <c r="F192" t="s">
        <v>48</v>
      </c>
      <c r="G192" t="s">
        <v>49</v>
      </c>
      <c r="H192" t="s">
        <v>49</v>
      </c>
      <c r="I192" t="s">
        <v>34</v>
      </c>
      <c r="J192">
        <v>219319169</v>
      </c>
      <c r="K192">
        <v>219515777</v>
      </c>
      <c r="L192">
        <v>219417473</v>
      </c>
      <c r="M192">
        <v>0.67762954051352753</v>
      </c>
    </row>
    <row r="193" spans="1:13" x14ac:dyDescent="0.35">
      <c r="A193" t="s">
        <v>126</v>
      </c>
      <c r="B193">
        <v>737</v>
      </c>
      <c r="C193" t="s">
        <v>45</v>
      </c>
      <c r="D193" t="s">
        <v>58</v>
      </c>
      <c r="E193" t="s">
        <v>47</v>
      </c>
      <c r="F193" t="s">
        <v>61</v>
      </c>
      <c r="G193" t="s">
        <v>62</v>
      </c>
      <c r="H193" t="s">
        <v>62</v>
      </c>
      <c r="I193" t="s">
        <v>88</v>
      </c>
      <c r="J193">
        <v>111825417</v>
      </c>
      <c r="K193">
        <v>112022025</v>
      </c>
      <c r="L193">
        <v>111923721</v>
      </c>
      <c r="M193">
        <v>0.67730972483484353</v>
      </c>
    </row>
    <row r="194" spans="1:13" x14ac:dyDescent="0.35">
      <c r="A194" t="s">
        <v>54</v>
      </c>
      <c r="B194">
        <v>729</v>
      </c>
      <c r="C194" t="s">
        <v>45</v>
      </c>
      <c r="D194" t="s">
        <v>46</v>
      </c>
      <c r="E194" t="s">
        <v>50</v>
      </c>
      <c r="F194" t="s">
        <v>51</v>
      </c>
      <c r="G194" t="s">
        <v>52</v>
      </c>
      <c r="H194" t="s">
        <v>52</v>
      </c>
      <c r="I194" t="s">
        <v>41</v>
      </c>
      <c r="J194">
        <v>100783102</v>
      </c>
      <c r="K194">
        <v>100979710</v>
      </c>
      <c r="L194">
        <v>100881406</v>
      </c>
      <c r="M194">
        <v>0.67720254519582168</v>
      </c>
    </row>
    <row r="195" spans="1:13" x14ac:dyDescent="0.35">
      <c r="A195" t="s">
        <v>106</v>
      </c>
      <c r="B195">
        <v>729</v>
      </c>
      <c r="C195" t="s">
        <v>45</v>
      </c>
      <c r="D195" t="s">
        <v>46</v>
      </c>
      <c r="E195" t="s">
        <v>50</v>
      </c>
      <c r="F195" t="s">
        <v>51</v>
      </c>
      <c r="G195" t="s">
        <v>52</v>
      </c>
      <c r="H195" t="s">
        <v>52</v>
      </c>
      <c r="I195" t="s">
        <v>39</v>
      </c>
      <c r="J195">
        <v>69703575</v>
      </c>
      <c r="K195">
        <v>69900183</v>
      </c>
      <c r="L195">
        <v>69801879</v>
      </c>
      <c r="M195">
        <v>0.67576846684092662</v>
      </c>
    </row>
    <row r="196" spans="1:13" x14ac:dyDescent="0.35">
      <c r="A196" t="s">
        <v>127</v>
      </c>
      <c r="B196">
        <v>116</v>
      </c>
      <c r="C196" t="s">
        <v>18</v>
      </c>
      <c r="E196" t="s">
        <v>26</v>
      </c>
      <c r="F196" t="s">
        <v>27</v>
      </c>
      <c r="G196" t="s">
        <v>28</v>
      </c>
      <c r="H196" t="s">
        <v>28</v>
      </c>
      <c r="I196" t="s">
        <v>43</v>
      </c>
      <c r="J196">
        <v>18532541</v>
      </c>
      <c r="K196">
        <v>18729149</v>
      </c>
      <c r="L196">
        <v>18630845</v>
      </c>
      <c r="M196">
        <v>0.67513390981823462</v>
      </c>
    </row>
    <row r="197" spans="1:13" x14ac:dyDescent="0.35">
      <c r="A197" t="s">
        <v>128</v>
      </c>
      <c r="B197">
        <v>117</v>
      </c>
      <c r="C197" t="s">
        <v>18</v>
      </c>
      <c r="E197" t="s">
        <v>19</v>
      </c>
      <c r="F197" t="s">
        <v>20</v>
      </c>
      <c r="G197" t="s">
        <v>21</v>
      </c>
      <c r="H197" t="s">
        <v>21</v>
      </c>
      <c r="I197" t="s">
        <v>34</v>
      </c>
      <c r="J197">
        <v>172977017</v>
      </c>
      <c r="K197">
        <v>173173625</v>
      </c>
      <c r="L197">
        <v>173075321</v>
      </c>
      <c r="M197">
        <v>0.6735638920521374</v>
      </c>
    </row>
    <row r="198" spans="1:13" x14ac:dyDescent="0.35">
      <c r="A198" t="s">
        <v>119</v>
      </c>
      <c r="B198">
        <v>737</v>
      </c>
      <c r="C198" t="s">
        <v>45</v>
      </c>
      <c r="D198" t="s">
        <v>58</v>
      </c>
      <c r="E198" t="s">
        <v>47</v>
      </c>
      <c r="F198" t="s">
        <v>61</v>
      </c>
      <c r="G198" t="s">
        <v>62</v>
      </c>
      <c r="H198" t="s">
        <v>62</v>
      </c>
      <c r="I198" t="s">
        <v>76</v>
      </c>
      <c r="J198">
        <v>55051046</v>
      </c>
      <c r="K198">
        <v>55247654</v>
      </c>
      <c r="L198">
        <v>55149350</v>
      </c>
      <c r="M198">
        <v>0.67221614897787796</v>
      </c>
    </row>
    <row r="199" spans="1:13" x14ac:dyDescent="0.35">
      <c r="A199" t="s">
        <v>125</v>
      </c>
      <c r="B199">
        <v>729</v>
      </c>
      <c r="C199" t="s">
        <v>45</v>
      </c>
      <c r="D199" t="s">
        <v>46</v>
      </c>
      <c r="E199" t="s">
        <v>50</v>
      </c>
      <c r="F199" t="s">
        <v>51</v>
      </c>
      <c r="G199" t="s">
        <v>52</v>
      </c>
      <c r="H199" t="s">
        <v>52</v>
      </c>
      <c r="I199" t="s">
        <v>34</v>
      </c>
      <c r="J199">
        <v>219319169</v>
      </c>
      <c r="K199">
        <v>219515777</v>
      </c>
      <c r="L199">
        <v>219417473</v>
      </c>
      <c r="M199">
        <v>0.67200932420440473</v>
      </c>
    </row>
    <row r="200" spans="1:13" x14ac:dyDescent="0.35">
      <c r="A200" t="s">
        <v>77</v>
      </c>
      <c r="B200">
        <v>729</v>
      </c>
      <c r="C200" t="s">
        <v>45</v>
      </c>
      <c r="D200" t="s">
        <v>46</v>
      </c>
      <c r="E200" t="s">
        <v>50</v>
      </c>
      <c r="F200" t="s">
        <v>51</v>
      </c>
      <c r="G200" t="s">
        <v>52</v>
      </c>
      <c r="H200" t="s">
        <v>52</v>
      </c>
      <c r="I200" t="s">
        <v>56</v>
      </c>
      <c r="J200">
        <v>186708753</v>
      </c>
      <c r="K200">
        <v>186905361</v>
      </c>
      <c r="L200">
        <v>186807057</v>
      </c>
      <c r="M200">
        <v>0.66983071652481463</v>
      </c>
    </row>
    <row r="201" spans="1:13" x14ac:dyDescent="0.35">
      <c r="A201" t="s">
        <v>78</v>
      </c>
      <c r="B201">
        <v>737</v>
      </c>
      <c r="C201" t="s">
        <v>45</v>
      </c>
      <c r="D201" t="s">
        <v>58</v>
      </c>
      <c r="E201" t="s">
        <v>47</v>
      </c>
      <c r="F201" t="s">
        <v>61</v>
      </c>
      <c r="G201" t="s">
        <v>62</v>
      </c>
      <c r="H201" t="s">
        <v>62</v>
      </c>
      <c r="I201" t="s">
        <v>76</v>
      </c>
      <c r="J201">
        <v>10619669</v>
      </c>
      <c r="K201">
        <v>10816277</v>
      </c>
      <c r="L201">
        <v>10717973</v>
      </c>
      <c r="M201">
        <v>0.6695435987158026</v>
      </c>
    </row>
    <row r="202" spans="1:13" x14ac:dyDescent="0.35">
      <c r="A202" t="s">
        <v>113</v>
      </c>
      <c r="B202">
        <v>724</v>
      </c>
      <c r="C202" t="s">
        <v>45</v>
      </c>
      <c r="D202" t="s">
        <v>58</v>
      </c>
      <c r="E202" t="s">
        <v>50</v>
      </c>
      <c r="F202" t="s">
        <v>59</v>
      </c>
      <c r="G202" t="s">
        <v>60</v>
      </c>
      <c r="H202" t="s">
        <v>60</v>
      </c>
      <c r="I202" t="s">
        <v>72</v>
      </c>
      <c r="J202">
        <v>31330055</v>
      </c>
      <c r="K202">
        <v>31526663</v>
      </c>
      <c r="L202">
        <v>31428359</v>
      </c>
      <c r="M202">
        <v>0.66951617597019797</v>
      </c>
    </row>
    <row r="203" spans="1:13" x14ac:dyDescent="0.35">
      <c r="A203" t="s">
        <v>99</v>
      </c>
      <c r="B203">
        <v>729</v>
      </c>
      <c r="C203" t="s">
        <v>45</v>
      </c>
      <c r="D203" t="s">
        <v>46</v>
      </c>
      <c r="E203" t="s">
        <v>50</v>
      </c>
      <c r="F203" t="s">
        <v>51</v>
      </c>
      <c r="G203" t="s">
        <v>52</v>
      </c>
      <c r="H203" t="s">
        <v>52</v>
      </c>
      <c r="I203" t="s">
        <v>37</v>
      </c>
      <c r="J203">
        <v>185044928</v>
      </c>
      <c r="K203">
        <v>185241536</v>
      </c>
      <c r="L203">
        <v>185143232</v>
      </c>
      <c r="M203">
        <v>0.6667593853665561</v>
      </c>
    </row>
    <row r="204" spans="1:13" x14ac:dyDescent="0.35">
      <c r="A204" t="s">
        <v>100</v>
      </c>
      <c r="B204">
        <v>117</v>
      </c>
      <c r="C204" t="s">
        <v>18</v>
      </c>
      <c r="E204" t="s">
        <v>19</v>
      </c>
      <c r="F204" t="s">
        <v>20</v>
      </c>
      <c r="G204" t="s">
        <v>21</v>
      </c>
      <c r="H204" t="s">
        <v>21</v>
      </c>
      <c r="I204" t="s">
        <v>101</v>
      </c>
      <c r="J204">
        <v>10451395</v>
      </c>
      <c r="K204">
        <v>10648003</v>
      </c>
      <c r="L204">
        <v>10549699</v>
      </c>
      <c r="M204">
        <v>0.66501716901102037</v>
      </c>
    </row>
    <row r="205" spans="1:13" x14ac:dyDescent="0.35">
      <c r="A205" t="s">
        <v>30</v>
      </c>
      <c r="B205">
        <v>737</v>
      </c>
      <c r="C205" t="s">
        <v>45</v>
      </c>
      <c r="D205" t="s">
        <v>58</v>
      </c>
      <c r="E205" t="s">
        <v>47</v>
      </c>
      <c r="F205" t="s">
        <v>61</v>
      </c>
      <c r="G205" t="s">
        <v>62</v>
      </c>
      <c r="H205" t="s">
        <v>62</v>
      </c>
      <c r="I205" t="s">
        <v>31</v>
      </c>
      <c r="J205">
        <v>120371060</v>
      </c>
      <c r="K205">
        <v>120567668</v>
      </c>
      <c r="L205">
        <v>120469364</v>
      </c>
      <c r="M205">
        <v>0.66179526515535692</v>
      </c>
    </row>
    <row r="206" spans="1:13" x14ac:dyDescent="0.35">
      <c r="A206" t="s">
        <v>81</v>
      </c>
      <c r="B206">
        <v>729</v>
      </c>
      <c r="C206" t="s">
        <v>45</v>
      </c>
      <c r="D206" t="s">
        <v>46</v>
      </c>
      <c r="E206" t="s">
        <v>50</v>
      </c>
      <c r="F206" t="s">
        <v>51</v>
      </c>
      <c r="G206" t="s">
        <v>52</v>
      </c>
      <c r="H206" t="s">
        <v>52</v>
      </c>
      <c r="I206" t="s">
        <v>43</v>
      </c>
      <c r="J206">
        <v>77880765</v>
      </c>
      <c r="K206">
        <v>78077373</v>
      </c>
      <c r="L206">
        <v>77979069</v>
      </c>
      <c r="M206">
        <v>0.66122913040341358</v>
      </c>
    </row>
    <row r="207" spans="1:13" x14ac:dyDescent="0.35">
      <c r="A207" t="s">
        <v>108</v>
      </c>
      <c r="B207">
        <v>116</v>
      </c>
      <c r="C207" t="s">
        <v>18</v>
      </c>
      <c r="E207" t="s">
        <v>26</v>
      </c>
      <c r="F207" t="s">
        <v>27</v>
      </c>
      <c r="G207" t="s">
        <v>28</v>
      </c>
      <c r="H207" t="s">
        <v>28</v>
      </c>
      <c r="I207" t="s">
        <v>24</v>
      </c>
      <c r="J207">
        <v>80618607</v>
      </c>
      <c r="K207">
        <v>80815215</v>
      </c>
      <c r="L207">
        <v>80716911</v>
      </c>
      <c r="M207">
        <v>0.6598662279727715</v>
      </c>
    </row>
    <row r="208" spans="1:13" x14ac:dyDescent="0.35">
      <c r="A208" t="s">
        <v>36</v>
      </c>
      <c r="B208">
        <v>737</v>
      </c>
      <c r="C208" t="s">
        <v>45</v>
      </c>
      <c r="D208" t="s">
        <v>58</v>
      </c>
      <c r="E208" t="s">
        <v>47</v>
      </c>
      <c r="F208" t="s">
        <v>61</v>
      </c>
      <c r="G208" t="s">
        <v>62</v>
      </c>
      <c r="H208" t="s">
        <v>62</v>
      </c>
      <c r="I208" t="s">
        <v>37</v>
      </c>
      <c r="J208">
        <v>1757927</v>
      </c>
      <c r="K208">
        <v>1954535</v>
      </c>
      <c r="L208">
        <v>1856231</v>
      </c>
      <c r="M208">
        <v>0.65924476658608155</v>
      </c>
    </row>
    <row r="209" spans="1:13" x14ac:dyDescent="0.35">
      <c r="A209" t="s">
        <v>54</v>
      </c>
      <c r="B209">
        <v>741</v>
      </c>
      <c r="C209" t="s">
        <v>45</v>
      </c>
      <c r="D209" t="s">
        <v>46</v>
      </c>
      <c r="E209" t="s">
        <v>47</v>
      </c>
      <c r="F209" t="s">
        <v>48</v>
      </c>
      <c r="G209" t="s">
        <v>49</v>
      </c>
      <c r="H209" t="s">
        <v>49</v>
      </c>
      <c r="I209" t="s">
        <v>41</v>
      </c>
      <c r="J209">
        <v>100783102</v>
      </c>
      <c r="K209">
        <v>100979710</v>
      </c>
      <c r="L209">
        <v>100881406</v>
      </c>
      <c r="M209">
        <v>0.65688940053607747</v>
      </c>
    </row>
    <row r="210" spans="1:13" x14ac:dyDescent="0.35">
      <c r="A210" t="s">
        <v>129</v>
      </c>
      <c r="B210">
        <v>741</v>
      </c>
      <c r="C210" t="s">
        <v>45</v>
      </c>
      <c r="D210" t="s">
        <v>46</v>
      </c>
      <c r="E210" t="s">
        <v>47</v>
      </c>
      <c r="F210" t="s">
        <v>48</v>
      </c>
      <c r="G210" t="s">
        <v>49</v>
      </c>
      <c r="H210" t="s">
        <v>49</v>
      </c>
      <c r="I210" t="s">
        <v>56</v>
      </c>
      <c r="J210">
        <v>69024727</v>
      </c>
      <c r="K210">
        <v>69221335</v>
      </c>
      <c r="L210">
        <v>69123031</v>
      </c>
      <c r="M210">
        <v>0.65657388027742203</v>
      </c>
    </row>
    <row r="211" spans="1:13" x14ac:dyDescent="0.35">
      <c r="A211" t="s">
        <v>54</v>
      </c>
      <c r="B211">
        <v>737</v>
      </c>
      <c r="C211" t="s">
        <v>45</v>
      </c>
      <c r="D211" t="s">
        <v>58</v>
      </c>
      <c r="E211" t="s">
        <v>47</v>
      </c>
      <c r="F211" t="s">
        <v>61</v>
      </c>
      <c r="G211" t="s">
        <v>62</v>
      </c>
      <c r="H211" t="s">
        <v>62</v>
      </c>
      <c r="I211" t="s">
        <v>41</v>
      </c>
      <c r="J211">
        <v>100783102</v>
      </c>
      <c r="K211">
        <v>100979710</v>
      </c>
      <c r="L211">
        <v>100881406</v>
      </c>
      <c r="M211">
        <v>0.65559378301627147</v>
      </c>
    </row>
    <row r="212" spans="1:13" x14ac:dyDescent="0.35">
      <c r="A212" t="s">
        <v>130</v>
      </c>
      <c r="B212">
        <v>741</v>
      </c>
      <c r="C212" t="s">
        <v>45</v>
      </c>
      <c r="D212" t="s">
        <v>46</v>
      </c>
      <c r="E212" t="s">
        <v>47</v>
      </c>
      <c r="F212" t="s">
        <v>48</v>
      </c>
      <c r="G212" t="s">
        <v>49</v>
      </c>
      <c r="H212" t="s">
        <v>49</v>
      </c>
      <c r="I212" t="s">
        <v>112</v>
      </c>
      <c r="J212">
        <v>104625869</v>
      </c>
      <c r="K212">
        <v>104822477</v>
      </c>
      <c r="L212">
        <v>104724173</v>
      </c>
      <c r="M212">
        <v>0.65249673951214404</v>
      </c>
    </row>
    <row r="213" spans="1:13" x14ac:dyDescent="0.35">
      <c r="A213" t="s">
        <v>55</v>
      </c>
      <c r="B213">
        <v>729</v>
      </c>
      <c r="C213" t="s">
        <v>45</v>
      </c>
      <c r="D213" t="s">
        <v>46</v>
      </c>
      <c r="E213" t="s">
        <v>50</v>
      </c>
      <c r="F213" t="s">
        <v>51</v>
      </c>
      <c r="G213" t="s">
        <v>52</v>
      </c>
      <c r="H213" t="s">
        <v>52</v>
      </c>
      <c r="I213" t="s">
        <v>56</v>
      </c>
      <c r="J213">
        <v>9551128</v>
      </c>
      <c r="K213">
        <v>9747736</v>
      </c>
      <c r="L213">
        <v>9649432</v>
      </c>
      <c r="M213">
        <v>0.65241119848336482</v>
      </c>
    </row>
    <row r="214" spans="1:13" x14ac:dyDescent="0.35">
      <c r="A214" t="s">
        <v>71</v>
      </c>
      <c r="B214">
        <v>729</v>
      </c>
      <c r="C214" t="s">
        <v>45</v>
      </c>
      <c r="D214" t="s">
        <v>46</v>
      </c>
      <c r="E214" t="s">
        <v>50</v>
      </c>
      <c r="F214" t="s">
        <v>51</v>
      </c>
      <c r="G214" t="s">
        <v>52</v>
      </c>
      <c r="H214" t="s">
        <v>52</v>
      </c>
      <c r="I214" t="s">
        <v>72</v>
      </c>
      <c r="J214">
        <v>1885888</v>
      </c>
      <c r="K214">
        <v>2082496</v>
      </c>
      <c r="L214">
        <v>1984192</v>
      </c>
      <c r="M214">
        <v>0.65207972937793801</v>
      </c>
    </row>
    <row r="215" spans="1:13" x14ac:dyDescent="0.35">
      <c r="A215" t="s">
        <v>119</v>
      </c>
      <c r="B215">
        <v>724</v>
      </c>
      <c r="C215" t="s">
        <v>45</v>
      </c>
      <c r="D215" t="s">
        <v>58</v>
      </c>
      <c r="E215" t="s">
        <v>50</v>
      </c>
      <c r="F215" t="s">
        <v>59</v>
      </c>
      <c r="G215" t="s">
        <v>60</v>
      </c>
      <c r="H215" t="s">
        <v>60</v>
      </c>
      <c r="I215" t="s">
        <v>76</v>
      </c>
      <c r="J215">
        <v>55051046</v>
      </c>
      <c r="K215">
        <v>55247654</v>
      </c>
      <c r="L215">
        <v>55149350</v>
      </c>
      <c r="M215">
        <v>0.65112986373844817</v>
      </c>
    </row>
    <row r="216" spans="1:13" x14ac:dyDescent="0.35">
      <c r="A216" t="s">
        <v>131</v>
      </c>
      <c r="B216">
        <v>741</v>
      </c>
      <c r="C216" t="s">
        <v>45</v>
      </c>
      <c r="D216" t="s">
        <v>46</v>
      </c>
      <c r="E216" t="s">
        <v>47</v>
      </c>
      <c r="F216" t="s">
        <v>48</v>
      </c>
      <c r="G216" t="s">
        <v>49</v>
      </c>
      <c r="H216" t="s">
        <v>49</v>
      </c>
      <c r="I216" t="s">
        <v>43</v>
      </c>
      <c r="J216">
        <v>154096343</v>
      </c>
      <c r="K216">
        <v>154292951</v>
      </c>
      <c r="L216">
        <v>154194647</v>
      </c>
      <c r="M216">
        <v>0.64900931921412675</v>
      </c>
    </row>
    <row r="217" spans="1:13" x14ac:dyDescent="0.35">
      <c r="A217" t="s">
        <v>90</v>
      </c>
      <c r="B217">
        <v>117</v>
      </c>
      <c r="C217" t="s">
        <v>18</v>
      </c>
      <c r="E217" t="s">
        <v>19</v>
      </c>
      <c r="F217" t="s">
        <v>20</v>
      </c>
      <c r="G217" t="s">
        <v>21</v>
      </c>
      <c r="H217" t="s">
        <v>21</v>
      </c>
      <c r="I217" t="s">
        <v>91</v>
      </c>
      <c r="J217">
        <v>45883450</v>
      </c>
      <c r="K217">
        <v>46080058</v>
      </c>
      <c r="L217">
        <v>45981754</v>
      </c>
      <c r="M217">
        <v>0.64698198559564435</v>
      </c>
    </row>
    <row r="218" spans="1:13" x14ac:dyDescent="0.35">
      <c r="A218" t="s">
        <v>66</v>
      </c>
      <c r="B218">
        <v>117</v>
      </c>
      <c r="C218" t="s">
        <v>18</v>
      </c>
      <c r="E218" t="s">
        <v>19</v>
      </c>
      <c r="F218" t="s">
        <v>20</v>
      </c>
      <c r="G218" t="s">
        <v>21</v>
      </c>
      <c r="H218" t="s">
        <v>21</v>
      </c>
      <c r="I218" t="s">
        <v>43</v>
      </c>
      <c r="J218">
        <v>1336556</v>
      </c>
      <c r="K218">
        <v>1533164</v>
      </c>
      <c r="L218">
        <v>1434860</v>
      </c>
      <c r="M218">
        <v>0.6467472962202957</v>
      </c>
    </row>
    <row r="219" spans="1:13" x14ac:dyDescent="0.35">
      <c r="A219" t="s">
        <v>132</v>
      </c>
      <c r="B219">
        <v>737</v>
      </c>
      <c r="C219" t="s">
        <v>45</v>
      </c>
      <c r="D219" t="s">
        <v>58</v>
      </c>
      <c r="E219" t="s">
        <v>47</v>
      </c>
      <c r="F219" t="s">
        <v>61</v>
      </c>
      <c r="G219" t="s">
        <v>62</v>
      </c>
      <c r="H219" t="s">
        <v>62</v>
      </c>
      <c r="I219" t="s">
        <v>31</v>
      </c>
      <c r="J219">
        <v>151298210</v>
      </c>
      <c r="K219">
        <v>151494818</v>
      </c>
      <c r="L219">
        <v>151396514</v>
      </c>
      <c r="M219">
        <v>0.64613753759084747</v>
      </c>
    </row>
    <row r="220" spans="1:13" x14ac:dyDescent="0.35">
      <c r="A220" t="s">
        <v>86</v>
      </c>
      <c r="B220">
        <v>741</v>
      </c>
      <c r="C220" t="s">
        <v>45</v>
      </c>
      <c r="D220" t="s">
        <v>46</v>
      </c>
      <c r="E220" t="s">
        <v>47</v>
      </c>
      <c r="F220" t="s">
        <v>48</v>
      </c>
      <c r="G220" t="s">
        <v>49</v>
      </c>
      <c r="H220" t="s">
        <v>49</v>
      </c>
      <c r="I220" t="s">
        <v>34</v>
      </c>
      <c r="J220">
        <v>237316100</v>
      </c>
      <c r="K220">
        <v>237512708</v>
      </c>
      <c r="L220">
        <v>237414404</v>
      </c>
      <c r="M220">
        <v>0.64549862593357443</v>
      </c>
    </row>
    <row r="221" spans="1:13" x14ac:dyDescent="0.35">
      <c r="A221" t="s">
        <v>110</v>
      </c>
      <c r="B221">
        <v>724</v>
      </c>
      <c r="C221" t="s">
        <v>45</v>
      </c>
      <c r="D221" t="s">
        <v>58</v>
      </c>
      <c r="E221" t="s">
        <v>50</v>
      </c>
      <c r="F221" t="s">
        <v>59</v>
      </c>
      <c r="G221" t="s">
        <v>60</v>
      </c>
      <c r="H221" t="s">
        <v>60</v>
      </c>
      <c r="I221" t="s">
        <v>41</v>
      </c>
      <c r="J221">
        <v>75107962</v>
      </c>
      <c r="K221">
        <v>75304570</v>
      </c>
      <c r="L221">
        <v>75206266</v>
      </c>
      <c r="M221">
        <v>0.64424574602328999</v>
      </c>
    </row>
    <row r="222" spans="1:13" x14ac:dyDescent="0.35">
      <c r="A222" t="s">
        <v>84</v>
      </c>
      <c r="B222">
        <v>741</v>
      </c>
      <c r="C222" t="s">
        <v>45</v>
      </c>
      <c r="D222" t="s">
        <v>46</v>
      </c>
      <c r="E222" t="s">
        <v>47</v>
      </c>
      <c r="F222" t="s">
        <v>48</v>
      </c>
      <c r="G222" t="s">
        <v>49</v>
      </c>
      <c r="H222" t="s">
        <v>49</v>
      </c>
      <c r="I222" t="s">
        <v>83</v>
      </c>
      <c r="J222">
        <v>157237076</v>
      </c>
      <c r="K222">
        <v>157433684</v>
      </c>
      <c r="L222">
        <v>157335380</v>
      </c>
      <c r="M222">
        <v>0.64368803551463516</v>
      </c>
    </row>
    <row r="223" spans="1:13" x14ac:dyDescent="0.35">
      <c r="A223" t="s">
        <v>95</v>
      </c>
      <c r="B223">
        <v>117</v>
      </c>
      <c r="C223" t="s">
        <v>18</v>
      </c>
      <c r="E223" t="s">
        <v>19</v>
      </c>
      <c r="F223" t="s">
        <v>20</v>
      </c>
      <c r="G223" t="s">
        <v>21</v>
      </c>
      <c r="H223" t="s">
        <v>21</v>
      </c>
      <c r="I223" t="s">
        <v>43</v>
      </c>
      <c r="J223">
        <v>229336484</v>
      </c>
      <c r="K223">
        <v>229533092</v>
      </c>
      <c r="L223">
        <v>229434788</v>
      </c>
      <c r="M223">
        <v>0.6429344002453351</v>
      </c>
    </row>
    <row r="224" spans="1:13" x14ac:dyDescent="0.35">
      <c r="A224" t="s">
        <v>98</v>
      </c>
      <c r="B224">
        <v>117</v>
      </c>
      <c r="C224" t="s">
        <v>18</v>
      </c>
      <c r="E224" t="s">
        <v>19</v>
      </c>
      <c r="F224" t="s">
        <v>20</v>
      </c>
      <c r="G224" t="s">
        <v>21</v>
      </c>
      <c r="H224" t="s">
        <v>21</v>
      </c>
      <c r="I224" t="s">
        <v>37</v>
      </c>
      <c r="J224">
        <v>105375808</v>
      </c>
      <c r="K224">
        <v>105572416</v>
      </c>
      <c r="L224">
        <v>105474112</v>
      </c>
      <c r="M224">
        <v>0.64269167948356731</v>
      </c>
    </row>
    <row r="225" spans="1:13" x14ac:dyDescent="0.35">
      <c r="A225" t="s">
        <v>127</v>
      </c>
      <c r="B225">
        <v>117</v>
      </c>
      <c r="C225" t="s">
        <v>18</v>
      </c>
      <c r="E225" t="s">
        <v>19</v>
      </c>
      <c r="F225" t="s">
        <v>20</v>
      </c>
      <c r="G225" t="s">
        <v>21</v>
      </c>
      <c r="H225" t="s">
        <v>21</v>
      </c>
      <c r="I225" t="s">
        <v>43</v>
      </c>
      <c r="J225">
        <v>18532541</v>
      </c>
      <c r="K225">
        <v>18729149</v>
      </c>
      <c r="L225">
        <v>18630845</v>
      </c>
      <c r="M225">
        <v>0.63852322354947932</v>
      </c>
    </row>
    <row r="226" spans="1:13" x14ac:dyDescent="0.35">
      <c r="A226" t="s">
        <v>36</v>
      </c>
      <c r="B226">
        <v>729</v>
      </c>
      <c r="C226" t="s">
        <v>45</v>
      </c>
      <c r="D226" t="s">
        <v>46</v>
      </c>
      <c r="E226" t="s">
        <v>50</v>
      </c>
      <c r="F226" t="s">
        <v>51</v>
      </c>
      <c r="G226" t="s">
        <v>52</v>
      </c>
      <c r="H226" t="s">
        <v>52</v>
      </c>
      <c r="I226" t="s">
        <v>37</v>
      </c>
      <c r="J226">
        <v>1757927</v>
      </c>
      <c r="K226">
        <v>1954535</v>
      </c>
      <c r="L226">
        <v>1856231</v>
      </c>
      <c r="M226">
        <v>0.63819885162421452</v>
      </c>
    </row>
    <row r="227" spans="1:13" x14ac:dyDescent="0.35">
      <c r="A227" t="s">
        <v>36</v>
      </c>
      <c r="B227">
        <v>741</v>
      </c>
      <c r="C227" t="s">
        <v>45</v>
      </c>
      <c r="D227" t="s">
        <v>46</v>
      </c>
      <c r="E227" t="s">
        <v>47</v>
      </c>
      <c r="F227" t="s">
        <v>48</v>
      </c>
      <c r="G227" t="s">
        <v>49</v>
      </c>
      <c r="H227" t="s">
        <v>49</v>
      </c>
      <c r="I227" t="s">
        <v>37</v>
      </c>
      <c r="J227">
        <v>1757927</v>
      </c>
      <c r="K227">
        <v>1954535</v>
      </c>
      <c r="L227">
        <v>1856231</v>
      </c>
      <c r="M227">
        <v>0.6374522720489505</v>
      </c>
    </row>
    <row r="228" spans="1:13" x14ac:dyDescent="0.35">
      <c r="A228" t="s">
        <v>99</v>
      </c>
      <c r="B228">
        <v>741</v>
      </c>
      <c r="C228" t="s">
        <v>45</v>
      </c>
      <c r="D228" t="s">
        <v>46</v>
      </c>
      <c r="E228" t="s">
        <v>47</v>
      </c>
      <c r="F228" t="s">
        <v>48</v>
      </c>
      <c r="G228" t="s">
        <v>49</v>
      </c>
      <c r="H228" t="s">
        <v>49</v>
      </c>
      <c r="I228" t="s">
        <v>37</v>
      </c>
      <c r="J228">
        <v>185044928</v>
      </c>
      <c r="K228">
        <v>185241536</v>
      </c>
      <c r="L228">
        <v>185143232</v>
      </c>
      <c r="M228">
        <v>0.63679726914277024</v>
      </c>
    </row>
    <row r="229" spans="1:13" x14ac:dyDescent="0.35">
      <c r="A229" t="s">
        <v>90</v>
      </c>
      <c r="B229">
        <v>724</v>
      </c>
      <c r="C229" t="s">
        <v>45</v>
      </c>
      <c r="D229" t="s">
        <v>58</v>
      </c>
      <c r="E229" t="s">
        <v>50</v>
      </c>
      <c r="F229" t="s">
        <v>59</v>
      </c>
      <c r="G229" t="s">
        <v>60</v>
      </c>
      <c r="H229" t="s">
        <v>60</v>
      </c>
      <c r="I229" t="s">
        <v>91</v>
      </c>
      <c r="J229">
        <v>45883450</v>
      </c>
      <c r="K229">
        <v>46080058</v>
      </c>
      <c r="L229">
        <v>45981754</v>
      </c>
      <c r="M229">
        <v>0.63622992954292745</v>
      </c>
    </row>
    <row r="230" spans="1:13" x14ac:dyDescent="0.35">
      <c r="A230" t="s">
        <v>133</v>
      </c>
      <c r="B230">
        <v>117</v>
      </c>
      <c r="C230" t="s">
        <v>18</v>
      </c>
      <c r="E230" t="s">
        <v>19</v>
      </c>
      <c r="F230" t="s">
        <v>20</v>
      </c>
      <c r="G230" t="s">
        <v>21</v>
      </c>
      <c r="H230" t="s">
        <v>21</v>
      </c>
      <c r="I230" t="s">
        <v>104</v>
      </c>
      <c r="J230">
        <v>133430307</v>
      </c>
      <c r="K230">
        <v>133626915</v>
      </c>
      <c r="L230">
        <v>133528611</v>
      </c>
      <c r="M230">
        <v>0.63616439979824735</v>
      </c>
    </row>
    <row r="231" spans="1:13" x14ac:dyDescent="0.35">
      <c r="A231" t="s">
        <v>54</v>
      </c>
      <c r="B231">
        <v>724</v>
      </c>
      <c r="C231" t="s">
        <v>45</v>
      </c>
      <c r="D231" t="s">
        <v>58</v>
      </c>
      <c r="E231" t="s">
        <v>50</v>
      </c>
      <c r="F231" t="s">
        <v>59</v>
      </c>
      <c r="G231" t="s">
        <v>60</v>
      </c>
      <c r="H231" t="s">
        <v>60</v>
      </c>
      <c r="I231" t="s">
        <v>41</v>
      </c>
      <c r="J231">
        <v>100783102</v>
      </c>
      <c r="K231">
        <v>100979710</v>
      </c>
      <c r="L231">
        <v>100881406</v>
      </c>
      <c r="M231">
        <v>0.63579626486157004</v>
      </c>
    </row>
    <row r="232" spans="1:13" x14ac:dyDescent="0.35">
      <c r="A232" t="s">
        <v>95</v>
      </c>
      <c r="B232">
        <v>741</v>
      </c>
      <c r="C232" t="s">
        <v>45</v>
      </c>
      <c r="D232" t="s">
        <v>46</v>
      </c>
      <c r="E232" t="s">
        <v>47</v>
      </c>
      <c r="F232" t="s">
        <v>48</v>
      </c>
      <c r="G232" t="s">
        <v>49</v>
      </c>
      <c r="H232" t="s">
        <v>49</v>
      </c>
      <c r="I232" t="s">
        <v>43</v>
      </c>
      <c r="J232">
        <v>229336484</v>
      </c>
      <c r="K232">
        <v>229533092</v>
      </c>
      <c r="L232">
        <v>229434788</v>
      </c>
      <c r="M232">
        <v>0.63511648567777068</v>
      </c>
    </row>
    <row r="233" spans="1:13" x14ac:dyDescent="0.35">
      <c r="A233" t="s">
        <v>113</v>
      </c>
      <c r="B233">
        <v>729</v>
      </c>
      <c r="C233" t="s">
        <v>45</v>
      </c>
      <c r="D233" t="s">
        <v>46</v>
      </c>
      <c r="E233" t="s">
        <v>50</v>
      </c>
      <c r="F233" t="s">
        <v>51</v>
      </c>
      <c r="G233" t="s">
        <v>52</v>
      </c>
      <c r="H233" t="s">
        <v>52</v>
      </c>
      <c r="I233" t="s">
        <v>72</v>
      </c>
      <c r="J233">
        <v>31330055</v>
      </c>
      <c r="K233">
        <v>31526663</v>
      </c>
      <c r="L233">
        <v>31428359</v>
      </c>
      <c r="M233">
        <v>0.63506611450476147</v>
      </c>
    </row>
    <row r="234" spans="1:13" x14ac:dyDescent="0.35">
      <c r="A234" t="s">
        <v>124</v>
      </c>
      <c r="B234">
        <v>741</v>
      </c>
      <c r="C234" t="s">
        <v>45</v>
      </c>
      <c r="D234" t="s">
        <v>46</v>
      </c>
      <c r="E234" t="s">
        <v>47</v>
      </c>
      <c r="F234" t="s">
        <v>48</v>
      </c>
      <c r="G234" t="s">
        <v>49</v>
      </c>
      <c r="H234" t="s">
        <v>49</v>
      </c>
      <c r="I234" t="s">
        <v>83</v>
      </c>
      <c r="J234">
        <v>128732007</v>
      </c>
      <c r="K234">
        <v>128928615</v>
      </c>
      <c r="L234">
        <v>128830311</v>
      </c>
      <c r="M234">
        <v>0.62904978156847224</v>
      </c>
    </row>
    <row r="235" spans="1:13" x14ac:dyDescent="0.35">
      <c r="A235" t="s">
        <v>110</v>
      </c>
      <c r="B235">
        <v>729</v>
      </c>
      <c r="C235" t="s">
        <v>45</v>
      </c>
      <c r="D235" t="s">
        <v>46</v>
      </c>
      <c r="E235" t="s">
        <v>50</v>
      </c>
      <c r="F235" t="s">
        <v>51</v>
      </c>
      <c r="G235" t="s">
        <v>52</v>
      </c>
      <c r="H235" t="s">
        <v>52</v>
      </c>
      <c r="I235" t="s">
        <v>41</v>
      </c>
      <c r="J235">
        <v>75107962</v>
      </c>
      <c r="K235">
        <v>75304570</v>
      </c>
      <c r="L235">
        <v>75206266</v>
      </c>
      <c r="M235">
        <v>0.62763879006653223</v>
      </c>
    </row>
    <row r="236" spans="1:13" x14ac:dyDescent="0.35">
      <c r="A236" t="s">
        <v>63</v>
      </c>
      <c r="B236">
        <v>737</v>
      </c>
      <c r="C236" t="s">
        <v>45</v>
      </c>
      <c r="D236" t="s">
        <v>58</v>
      </c>
      <c r="E236" t="s">
        <v>47</v>
      </c>
      <c r="F236" t="s">
        <v>61</v>
      </c>
      <c r="G236" t="s">
        <v>62</v>
      </c>
      <c r="H236" t="s">
        <v>62</v>
      </c>
      <c r="I236" t="s">
        <v>64</v>
      </c>
      <c r="J236">
        <v>45735440</v>
      </c>
      <c r="K236">
        <v>45932048</v>
      </c>
      <c r="L236">
        <v>45833744</v>
      </c>
      <c r="M236">
        <v>0.62757854320556472</v>
      </c>
    </row>
    <row r="237" spans="1:13" x14ac:dyDescent="0.35">
      <c r="A237" t="s">
        <v>134</v>
      </c>
      <c r="B237">
        <v>117</v>
      </c>
      <c r="C237" t="s">
        <v>18</v>
      </c>
      <c r="E237" t="s">
        <v>19</v>
      </c>
      <c r="F237" t="s">
        <v>20</v>
      </c>
      <c r="G237" t="s">
        <v>21</v>
      </c>
      <c r="H237" t="s">
        <v>21</v>
      </c>
      <c r="I237" t="s">
        <v>76</v>
      </c>
      <c r="J237">
        <v>40367936</v>
      </c>
      <c r="K237">
        <v>40564544</v>
      </c>
      <c r="L237">
        <v>40466240</v>
      </c>
      <c r="M237">
        <v>0.62721725097818348</v>
      </c>
    </row>
    <row r="238" spans="1:13" x14ac:dyDescent="0.35">
      <c r="A238" t="s">
        <v>117</v>
      </c>
      <c r="B238">
        <v>737</v>
      </c>
      <c r="C238" t="s">
        <v>45</v>
      </c>
      <c r="D238" t="s">
        <v>58</v>
      </c>
      <c r="E238" t="s">
        <v>47</v>
      </c>
      <c r="F238" t="s">
        <v>61</v>
      </c>
      <c r="G238" t="s">
        <v>62</v>
      </c>
      <c r="H238" t="s">
        <v>62</v>
      </c>
      <c r="I238" t="s">
        <v>39</v>
      </c>
      <c r="J238">
        <v>119552574</v>
      </c>
      <c r="K238">
        <v>119749182</v>
      </c>
      <c r="L238">
        <v>119650878</v>
      </c>
      <c r="M238">
        <v>0.62671246640427059</v>
      </c>
    </row>
    <row r="239" spans="1:13" x14ac:dyDescent="0.35">
      <c r="A239" t="s">
        <v>115</v>
      </c>
      <c r="B239">
        <v>117</v>
      </c>
      <c r="C239" t="s">
        <v>18</v>
      </c>
      <c r="E239" t="s">
        <v>19</v>
      </c>
      <c r="F239" t="s">
        <v>20</v>
      </c>
      <c r="G239" t="s">
        <v>21</v>
      </c>
      <c r="H239" t="s">
        <v>21</v>
      </c>
      <c r="I239" t="s">
        <v>112</v>
      </c>
      <c r="J239">
        <v>23337832</v>
      </c>
      <c r="K239">
        <v>23534440</v>
      </c>
      <c r="L239">
        <v>23436136</v>
      </c>
      <c r="M239">
        <v>0.62577225355867727</v>
      </c>
    </row>
    <row r="240" spans="1:13" x14ac:dyDescent="0.35">
      <c r="A240" t="s">
        <v>132</v>
      </c>
      <c r="B240">
        <v>117</v>
      </c>
      <c r="C240" t="s">
        <v>18</v>
      </c>
      <c r="E240" t="s">
        <v>19</v>
      </c>
      <c r="F240" t="s">
        <v>20</v>
      </c>
      <c r="G240" t="s">
        <v>21</v>
      </c>
      <c r="H240" t="s">
        <v>21</v>
      </c>
      <c r="I240" t="s">
        <v>31</v>
      </c>
      <c r="J240">
        <v>151298210</v>
      </c>
      <c r="K240">
        <v>151494818</v>
      </c>
      <c r="L240">
        <v>151396514</v>
      </c>
      <c r="M240">
        <v>0.62479075263672279</v>
      </c>
    </row>
    <row r="241" spans="1:13" x14ac:dyDescent="0.35">
      <c r="A241" t="s">
        <v>103</v>
      </c>
      <c r="B241">
        <v>116</v>
      </c>
      <c r="C241" t="s">
        <v>18</v>
      </c>
      <c r="E241" t="s">
        <v>26</v>
      </c>
      <c r="F241" t="s">
        <v>27</v>
      </c>
      <c r="G241" t="s">
        <v>28</v>
      </c>
      <c r="H241" t="s">
        <v>28</v>
      </c>
      <c r="I241" t="s">
        <v>104</v>
      </c>
      <c r="J241">
        <v>35591751</v>
      </c>
      <c r="K241">
        <v>35788359</v>
      </c>
      <c r="L241">
        <v>35690055</v>
      </c>
      <c r="M241">
        <v>0.62451679945852756</v>
      </c>
    </row>
    <row r="242" spans="1:13" x14ac:dyDescent="0.35">
      <c r="A242" t="s">
        <v>119</v>
      </c>
      <c r="B242">
        <v>729</v>
      </c>
      <c r="C242" t="s">
        <v>45</v>
      </c>
      <c r="D242" t="s">
        <v>46</v>
      </c>
      <c r="E242" t="s">
        <v>50</v>
      </c>
      <c r="F242" t="s">
        <v>51</v>
      </c>
      <c r="G242" t="s">
        <v>52</v>
      </c>
      <c r="H242" t="s">
        <v>52</v>
      </c>
      <c r="I242" t="s">
        <v>76</v>
      </c>
      <c r="J242">
        <v>55051046</v>
      </c>
      <c r="K242">
        <v>55247654</v>
      </c>
      <c r="L242">
        <v>55149350</v>
      </c>
      <c r="M242">
        <v>0.62267776605180714</v>
      </c>
    </row>
    <row r="243" spans="1:13" x14ac:dyDescent="0.35">
      <c r="A243" t="s">
        <v>127</v>
      </c>
      <c r="B243">
        <v>741</v>
      </c>
      <c r="C243" t="s">
        <v>45</v>
      </c>
      <c r="D243" t="s">
        <v>46</v>
      </c>
      <c r="E243" t="s">
        <v>47</v>
      </c>
      <c r="F243" t="s">
        <v>48</v>
      </c>
      <c r="G243" t="s">
        <v>49</v>
      </c>
      <c r="H243" t="s">
        <v>49</v>
      </c>
      <c r="I243" t="s">
        <v>43</v>
      </c>
      <c r="J243">
        <v>18532541</v>
      </c>
      <c r="K243">
        <v>18729149</v>
      </c>
      <c r="L243">
        <v>18630845</v>
      </c>
      <c r="M243">
        <v>0.62216982833529877</v>
      </c>
    </row>
    <row r="244" spans="1:13" x14ac:dyDescent="0.35">
      <c r="A244" t="s">
        <v>135</v>
      </c>
      <c r="B244">
        <v>741</v>
      </c>
      <c r="C244" t="s">
        <v>45</v>
      </c>
      <c r="D244" t="s">
        <v>46</v>
      </c>
      <c r="E244" t="s">
        <v>47</v>
      </c>
      <c r="F244" t="s">
        <v>48</v>
      </c>
      <c r="G244" t="s">
        <v>49</v>
      </c>
      <c r="H244" t="s">
        <v>49</v>
      </c>
      <c r="I244" t="s">
        <v>41</v>
      </c>
      <c r="J244">
        <v>123538955</v>
      </c>
      <c r="K244">
        <v>123735563</v>
      </c>
      <c r="L244">
        <v>123637259</v>
      </c>
      <c r="M244">
        <v>0.62192555075153877</v>
      </c>
    </row>
    <row r="245" spans="1:13" x14ac:dyDescent="0.35">
      <c r="A245" t="s">
        <v>63</v>
      </c>
      <c r="B245">
        <v>724</v>
      </c>
      <c r="C245" t="s">
        <v>45</v>
      </c>
      <c r="D245" t="s">
        <v>58</v>
      </c>
      <c r="E245" t="s">
        <v>50</v>
      </c>
      <c r="F245" t="s">
        <v>59</v>
      </c>
      <c r="G245" t="s">
        <v>60</v>
      </c>
      <c r="H245" t="s">
        <v>60</v>
      </c>
      <c r="I245" t="s">
        <v>64</v>
      </c>
      <c r="J245">
        <v>45735440</v>
      </c>
      <c r="K245">
        <v>45932048</v>
      </c>
      <c r="L245">
        <v>45833744</v>
      </c>
      <c r="M245">
        <v>0.62139802605136119</v>
      </c>
    </row>
    <row r="246" spans="1:13" x14ac:dyDescent="0.35">
      <c r="A246" t="s">
        <v>68</v>
      </c>
      <c r="B246">
        <v>117</v>
      </c>
      <c r="C246" t="s">
        <v>18</v>
      </c>
      <c r="E246" t="s">
        <v>19</v>
      </c>
      <c r="F246" t="s">
        <v>20</v>
      </c>
      <c r="G246" t="s">
        <v>21</v>
      </c>
      <c r="H246" t="s">
        <v>21</v>
      </c>
      <c r="I246" t="s">
        <v>56</v>
      </c>
      <c r="J246">
        <v>81663476</v>
      </c>
      <c r="K246">
        <v>81860084</v>
      </c>
      <c r="L246">
        <v>81761780</v>
      </c>
      <c r="M246">
        <v>0.61622455802335729</v>
      </c>
    </row>
    <row r="247" spans="1:13" x14ac:dyDescent="0.35">
      <c r="A247" t="s">
        <v>17</v>
      </c>
      <c r="B247">
        <v>724</v>
      </c>
      <c r="C247" t="s">
        <v>45</v>
      </c>
      <c r="D247" t="s">
        <v>58</v>
      </c>
      <c r="E247" t="s">
        <v>50</v>
      </c>
      <c r="F247" t="s">
        <v>59</v>
      </c>
      <c r="G247" t="s">
        <v>60</v>
      </c>
      <c r="H247" t="s">
        <v>60</v>
      </c>
      <c r="I247" t="s">
        <v>22</v>
      </c>
      <c r="J247">
        <v>64289443</v>
      </c>
      <c r="K247">
        <v>64486051</v>
      </c>
      <c r="L247">
        <v>64387747</v>
      </c>
      <c r="M247">
        <v>0.61353356363654521</v>
      </c>
    </row>
    <row r="248" spans="1:13" x14ac:dyDescent="0.35">
      <c r="A248" t="s">
        <v>136</v>
      </c>
      <c r="B248">
        <v>724</v>
      </c>
      <c r="C248" t="s">
        <v>45</v>
      </c>
      <c r="D248" t="s">
        <v>58</v>
      </c>
      <c r="E248" t="s">
        <v>50</v>
      </c>
      <c r="F248" t="s">
        <v>59</v>
      </c>
      <c r="G248" t="s">
        <v>60</v>
      </c>
      <c r="H248" t="s">
        <v>60</v>
      </c>
      <c r="I248" t="s">
        <v>43</v>
      </c>
      <c r="J248">
        <v>25701888</v>
      </c>
      <c r="K248">
        <v>25898496</v>
      </c>
      <c r="L248">
        <v>25800192</v>
      </c>
      <c r="M248">
        <v>0.61150632237298896</v>
      </c>
    </row>
    <row r="249" spans="1:13" x14ac:dyDescent="0.35">
      <c r="A249" t="s">
        <v>116</v>
      </c>
      <c r="B249">
        <v>741</v>
      </c>
      <c r="C249" t="s">
        <v>45</v>
      </c>
      <c r="D249" t="s">
        <v>46</v>
      </c>
      <c r="E249" t="s">
        <v>47</v>
      </c>
      <c r="F249" t="s">
        <v>48</v>
      </c>
      <c r="G249" t="s">
        <v>49</v>
      </c>
      <c r="H249" t="s">
        <v>49</v>
      </c>
      <c r="I249" t="s">
        <v>76</v>
      </c>
      <c r="J249">
        <v>38335386</v>
      </c>
      <c r="K249">
        <v>38531994</v>
      </c>
      <c r="L249">
        <v>38433690</v>
      </c>
      <c r="M249">
        <v>0.61029806492982297</v>
      </c>
    </row>
    <row r="250" spans="1:13" x14ac:dyDescent="0.35">
      <c r="A250" t="s">
        <v>84</v>
      </c>
      <c r="B250">
        <v>737</v>
      </c>
      <c r="C250" t="s">
        <v>45</v>
      </c>
      <c r="D250" t="s">
        <v>58</v>
      </c>
      <c r="E250" t="s">
        <v>47</v>
      </c>
      <c r="F250" t="s">
        <v>61</v>
      </c>
      <c r="G250" t="s">
        <v>62</v>
      </c>
      <c r="H250" t="s">
        <v>62</v>
      </c>
      <c r="I250" t="s">
        <v>83</v>
      </c>
      <c r="J250">
        <v>157237076</v>
      </c>
      <c r="K250">
        <v>157433684</v>
      </c>
      <c r="L250">
        <v>157335380</v>
      </c>
      <c r="M250">
        <v>0.60749700810833962</v>
      </c>
    </row>
    <row r="251" spans="1:13" x14ac:dyDescent="0.35">
      <c r="A251" t="s">
        <v>32</v>
      </c>
      <c r="B251">
        <v>729</v>
      </c>
      <c r="C251" t="s">
        <v>45</v>
      </c>
      <c r="D251" t="s">
        <v>46</v>
      </c>
      <c r="E251" t="s">
        <v>50</v>
      </c>
      <c r="F251" t="s">
        <v>51</v>
      </c>
      <c r="G251" t="s">
        <v>52</v>
      </c>
      <c r="H251" t="s">
        <v>52</v>
      </c>
      <c r="I251" t="s">
        <v>31</v>
      </c>
      <c r="J251">
        <v>150470112</v>
      </c>
      <c r="K251">
        <v>150666720</v>
      </c>
      <c r="L251">
        <v>150568416</v>
      </c>
      <c r="M251">
        <v>0.60671289508569248</v>
      </c>
    </row>
    <row r="252" spans="1:13" x14ac:dyDescent="0.35">
      <c r="A252" t="s">
        <v>95</v>
      </c>
      <c r="B252">
        <v>724</v>
      </c>
      <c r="C252" t="s">
        <v>45</v>
      </c>
      <c r="D252" t="s">
        <v>58</v>
      </c>
      <c r="E252" t="s">
        <v>50</v>
      </c>
      <c r="F252" t="s">
        <v>59</v>
      </c>
      <c r="G252" t="s">
        <v>60</v>
      </c>
      <c r="H252" t="s">
        <v>60</v>
      </c>
      <c r="I252" t="s">
        <v>43</v>
      </c>
      <c r="J252">
        <v>229336484</v>
      </c>
      <c r="K252">
        <v>229533092</v>
      </c>
      <c r="L252">
        <v>229434788</v>
      </c>
      <c r="M252">
        <v>0.60313497433988672</v>
      </c>
    </row>
    <row r="253" spans="1:13" x14ac:dyDescent="0.35">
      <c r="A253" t="s">
        <v>113</v>
      </c>
      <c r="B253">
        <v>117</v>
      </c>
      <c r="C253" t="s">
        <v>18</v>
      </c>
      <c r="E253" t="s">
        <v>19</v>
      </c>
      <c r="F253" t="s">
        <v>20</v>
      </c>
      <c r="G253" t="s">
        <v>21</v>
      </c>
      <c r="H253" t="s">
        <v>21</v>
      </c>
      <c r="I253" t="s">
        <v>72</v>
      </c>
      <c r="J253">
        <v>31330055</v>
      </c>
      <c r="K253">
        <v>31526663</v>
      </c>
      <c r="L253">
        <v>31428359</v>
      </c>
      <c r="M253">
        <v>0.59873076926893143</v>
      </c>
    </row>
    <row r="254" spans="1:13" x14ac:dyDescent="0.35">
      <c r="A254" t="s">
        <v>92</v>
      </c>
      <c r="B254">
        <v>737</v>
      </c>
      <c r="C254" t="s">
        <v>45</v>
      </c>
      <c r="D254" t="s">
        <v>58</v>
      </c>
      <c r="E254" t="s">
        <v>47</v>
      </c>
      <c r="F254" t="s">
        <v>61</v>
      </c>
      <c r="G254" t="s">
        <v>62</v>
      </c>
      <c r="H254" t="s">
        <v>62</v>
      </c>
      <c r="I254" t="s">
        <v>74</v>
      </c>
      <c r="J254">
        <v>23669677</v>
      </c>
      <c r="K254">
        <v>23866285</v>
      </c>
      <c r="L254">
        <v>23767981</v>
      </c>
      <c r="M254">
        <v>0.59381974694920969</v>
      </c>
    </row>
    <row r="255" spans="1:13" x14ac:dyDescent="0.35">
      <c r="A255" t="s">
        <v>55</v>
      </c>
      <c r="B255">
        <v>724</v>
      </c>
      <c r="C255" t="s">
        <v>45</v>
      </c>
      <c r="D255" t="s">
        <v>58</v>
      </c>
      <c r="E255" t="s">
        <v>50</v>
      </c>
      <c r="F255" t="s">
        <v>59</v>
      </c>
      <c r="G255" t="s">
        <v>60</v>
      </c>
      <c r="H255" t="s">
        <v>60</v>
      </c>
      <c r="I255" t="s">
        <v>56</v>
      </c>
      <c r="J255">
        <v>9551128</v>
      </c>
      <c r="K255">
        <v>9747736</v>
      </c>
      <c r="L255">
        <v>9649432</v>
      </c>
      <c r="M255">
        <v>0.59246432155828987</v>
      </c>
    </row>
    <row r="256" spans="1:13" x14ac:dyDescent="0.35">
      <c r="A256" t="s">
        <v>137</v>
      </c>
      <c r="B256">
        <v>729</v>
      </c>
      <c r="C256" t="s">
        <v>45</v>
      </c>
      <c r="D256" t="s">
        <v>46</v>
      </c>
      <c r="E256" t="s">
        <v>50</v>
      </c>
      <c r="F256" t="s">
        <v>51</v>
      </c>
      <c r="G256" t="s">
        <v>52</v>
      </c>
      <c r="H256" t="s">
        <v>52</v>
      </c>
      <c r="I256" t="s">
        <v>34</v>
      </c>
      <c r="J256">
        <v>151636182</v>
      </c>
      <c r="K256">
        <v>151832790</v>
      </c>
      <c r="L256">
        <v>151734486</v>
      </c>
      <c r="M256">
        <v>0.59159074576542769</v>
      </c>
    </row>
    <row r="257" spans="1:13" x14ac:dyDescent="0.35">
      <c r="A257" t="s">
        <v>137</v>
      </c>
      <c r="B257">
        <v>741</v>
      </c>
      <c r="C257" t="s">
        <v>45</v>
      </c>
      <c r="D257" t="s">
        <v>46</v>
      </c>
      <c r="E257" t="s">
        <v>47</v>
      </c>
      <c r="F257" t="s">
        <v>48</v>
      </c>
      <c r="G257" t="s">
        <v>49</v>
      </c>
      <c r="H257" t="s">
        <v>49</v>
      </c>
      <c r="I257" t="s">
        <v>34</v>
      </c>
      <c r="J257">
        <v>151636182</v>
      </c>
      <c r="K257">
        <v>151832790</v>
      </c>
      <c r="L257">
        <v>151734486</v>
      </c>
      <c r="M257">
        <v>0.59157348481257888</v>
      </c>
    </row>
    <row r="258" spans="1:13" x14ac:dyDescent="0.35">
      <c r="A258" t="s">
        <v>53</v>
      </c>
      <c r="B258">
        <v>724</v>
      </c>
      <c r="C258" t="s">
        <v>45</v>
      </c>
      <c r="D258" t="s">
        <v>58</v>
      </c>
      <c r="E258" t="s">
        <v>50</v>
      </c>
      <c r="F258" t="s">
        <v>59</v>
      </c>
      <c r="G258" t="s">
        <v>60</v>
      </c>
      <c r="H258" t="s">
        <v>60</v>
      </c>
      <c r="I258" t="s">
        <v>24</v>
      </c>
      <c r="J258">
        <v>57152883</v>
      </c>
      <c r="K258">
        <v>57349491</v>
      </c>
      <c r="L258">
        <v>57251187</v>
      </c>
      <c r="M258">
        <v>0.59007967374238535</v>
      </c>
    </row>
    <row r="259" spans="1:13" x14ac:dyDescent="0.35">
      <c r="A259" t="s">
        <v>66</v>
      </c>
      <c r="B259">
        <v>116</v>
      </c>
      <c r="C259" t="s">
        <v>18</v>
      </c>
      <c r="E259" t="s">
        <v>26</v>
      </c>
      <c r="F259" t="s">
        <v>27</v>
      </c>
      <c r="G259" t="s">
        <v>28</v>
      </c>
      <c r="H259" t="s">
        <v>28</v>
      </c>
      <c r="I259" t="s">
        <v>43</v>
      </c>
      <c r="J259">
        <v>1336556</v>
      </c>
      <c r="K259">
        <v>1533164</v>
      </c>
      <c r="L259">
        <v>1434860</v>
      </c>
      <c r="M259">
        <v>0.58985254770275286</v>
      </c>
    </row>
    <row r="260" spans="1:13" x14ac:dyDescent="0.35">
      <c r="A260" t="s">
        <v>138</v>
      </c>
      <c r="B260">
        <v>117</v>
      </c>
      <c r="C260" t="s">
        <v>18</v>
      </c>
      <c r="E260" t="s">
        <v>19</v>
      </c>
      <c r="F260" t="s">
        <v>20</v>
      </c>
      <c r="G260" t="s">
        <v>21</v>
      </c>
      <c r="H260" t="s">
        <v>21</v>
      </c>
      <c r="I260" t="s">
        <v>39</v>
      </c>
      <c r="J260">
        <v>29638818</v>
      </c>
      <c r="K260">
        <v>29835426</v>
      </c>
      <c r="L260">
        <v>29737122</v>
      </c>
      <c r="M260">
        <v>0.58925003512118412</v>
      </c>
    </row>
    <row r="261" spans="1:13" x14ac:dyDescent="0.35">
      <c r="A261" t="s">
        <v>105</v>
      </c>
      <c r="B261">
        <v>724</v>
      </c>
      <c r="C261" t="s">
        <v>45</v>
      </c>
      <c r="D261" t="s">
        <v>58</v>
      </c>
      <c r="E261" t="s">
        <v>50</v>
      </c>
      <c r="F261" t="s">
        <v>59</v>
      </c>
      <c r="G261" t="s">
        <v>60</v>
      </c>
      <c r="H261" t="s">
        <v>60</v>
      </c>
      <c r="I261" t="s">
        <v>72</v>
      </c>
      <c r="J261">
        <v>28780100</v>
      </c>
      <c r="K261">
        <v>28976708</v>
      </c>
      <c r="L261">
        <v>28878404</v>
      </c>
      <c r="M261">
        <v>0.58909768863107914</v>
      </c>
    </row>
    <row r="262" spans="1:13" x14ac:dyDescent="0.35">
      <c r="A262" t="s">
        <v>96</v>
      </c>
      <c r="B262">
        <v>724</v>
      </c>
      <c r="C262" t="s">
        <v>45</v>
      </c>
      <c r="D262" t="s">
        <v>58</v>
      </c>
      <c r="E262" t="s">
        <v>50</v>
      </c>
      <c r="F262" t="s">
        <v>59</v>
      </c>
      <c r="G262" t="s">
        <v>60</v>
      </c>
      <c r="H262" t="s">
        <v>60</v>
      </c>
      <c r="I262" t="s">
        <v>97</v>
      </c>
      <c r="J262">
        <v>127192491</v>
      </c>
      <c r="K262">
        <v>127389099</v>
      </c>
      <c r="L262">
        <v>127290795</v>
      </c>
      <c r="M262">
        <v>0.58873109048509165</v>
      </c>
    </row>
    <row r="263" spans="1:13" x14ac:dyDescent="0.35">
      <c r="A263" t="s">
        <v>53</v>
      </c>
      <c r="B263">
        <v>729</v>
      </c>
      <c r="C263" t="s">
        <v>45</v>
      </c>
      <c r="D263" t="s">
        <v>46</v>
      </c>
      <c r="E263" t="s">
        <v>50</v>
      </c>
      <c r="F263" t="s">
        <v>51</v>
      </c>
      <c r="G263" t="s">
        <v>52</v>
      </c>
      <c r="H263" t="s">
        <v>52</v>
      </c>
      <c r="I263" t="s">
        <v>24</v>
      </c>
      <c r="J263">
        <v>57152883</v>
      </c>
      <c r="K263">
        <v>57349491</v>
      </c>
      <c r="L263">
        <v>57251187</v>
      </c>
      <c r="M263">
        <v>0.58382658560284573</v>
      </c>
    </row>
    <row r="264" spans="1:13" x14ac:dyDescent="0.35">
      <c r="A264" t="s">
        <v>107</v>
      </c>
      <c r="B264">
        <v>737</v>
      </c>
      <c r="C264" t="s">
        <v>45</v>
      </c>
      <c r="D264" t="s">
        <v>58</v>
      </c>
      <c r="E264" t="s">
        <v>47</v>
      </c>
      <c r="F264" t="s">
        <v>61</v>
      </c>
      <c r="G264" t="s">
        <v>62</v>
      </c>
      <c r="H264" t="s">
        <v>62</v>
      </c>
      <c r="I264" t="s">
        <v>56</v>
      </c>
      <c r="J264">
        <v>42587142</v>
      </c>
      <c r="K264">
        <v>42783750</v>
      </c>
      <c r="L264">
        <v>42685446</v>
      </c>
      <c r="M264">
        <v>0.58268424662143459</v>
      </c>
    </row>
    <row r="265" spans="1:13" x14ac:dyDescent="0.35">
      <c r="A265" t="s">
        <v>70</v>
      </c>
      <c r="B265">
        <v>729</v>
      </c>
      <c r="C265" t="s">
        <v>45</v>
      </c>
      <c r="D265" t="s">
        <v>46</v>
      </c>
      <c r="E265" t="s">
        <v>50</v>
      </c>
      <c r="F265" t="s">
        <v>51</v>
      </c>
      <c r="G265" t="s">
        <v>52</v>
      </c>
      <c r="H265" t="s">
        <v>52</v>
      </c>
      <c r="I265" t="s">
        <v>56</v>
      </c>
      <c r="J265">
        <v>134553331</v>
      </c>
      <c r="K265">
        <v>134749939</v>
      </c>
      <c r="L265">
        <v>134651635</v>
      </c>
      <c r="M265">
        <v>0.58181640544273161</v>
      </c>
    </row>
    <row r="266" spans="1:13" x14ac:dyDescent="0.35">
      <c r="A266" t="s">
        <v>80</v>
      </c>
      <c r="B266">
        <v>117</v>
      </c>
      <c r="C266" t="s">
        <v>18</v>
      </c>
      <c r="E266" t="s">
        <v>19</v>
      </c>
      <c r="F266" t="s">
        <v>20</v>
      </c>
      <c r="G266" t="s">
        <v>21</v>
      </c>
      <c r="H266" t="s">
        <v>21</v>
      </c>
      <c r="I266" t="s">
        <v>34</v>
      </c>
      <c r="J266">
        <v>127009251</v>
      </c>
      <c r="K266">
        <v>127205859</v>
      </c>
      <c r="L266">
        <v>127107555</v>
      </c>
      <c r="M266">
        <v>0.58100661394785347</v>
      </c>
    </row>
    <row r="267" spans="1:13" x14ac:dyDescent="0.35">
      <c r="A267" t="s">
        <v>121</v>
      </c>
      <c r="B267">
        <v>724</v>
      </c>
      <c r="C267" t="s">
        <v>45</v>
      </c>
      <c r="D267" t="s">
        <v>58</v>
      </c>
      <c r="E267" t="s">
        <v>50</v>
      </c>
      <c r="F267" t="s">
        <v>59</v>
      </c>
      <c r="G267" t="s">
        <v>60</v>
      </c>
      <c r="H267" t="s">
        <v>60</v>
      </c>
      <c r="I267" t="s">
        <v>39</v>
      </c>
      <c r="J267">
        <v>17519125</v>
      </c>
      <c r="K267">
        <v>17715733</v>
      </c>
      <c r="L267">
        <v>17617429</v>
      </c>
      <c r="M267">
        <v>0.5789295289797638</v>
      </c>
    </row>
    <row r="268" spans="1:13" x14ac:dyDescent="0.35">
      <c r="A268" t="s">
        <v>133</v>
      </c>
      <c r="B268">
        <v>116</v>
      </c>
      <c r="C268" t="s">
        <v>18</v>
      </c>
      <c r="E268" t="s">
        <v>26</v>
      </c>
      <c r="F268" t="s">
        <v>27</v>
      </c>
      <c r="G268" t="s">
        <v>28</v>
      </c>
      <c r="H268" t="s">
        <v>28</v>
      </c>
      <c r="I268" t="s">
        <v>104</v>
      </c>
      <c r="J268">
        <v>133430307</v>
      </c>
      <c r="K268">
        <v>133626915</v>
      </c>
      <c r="L268">
        <v>133528611</v>
      </c>
      <c r="M268">
        <v>0.5761232044277308</v>
      </c>
    </row>
    <row r="269" spans="1:13" x14ac:dyDescent="0.35">
      <c r="A269" t="s">
        <v>69</v>
      </c>
      <c r="B269">
        <v>116</v>
      </c>
      <c r="C269" t="s">
        <v>18</v>
      </c>
      <c r="E269" t="s">
        <v>26</v>
      </c>
      <c r="F269" t="s">
        <v>27</v>
      </c>
      <c r="G269" t="s">
        <v>28</v>
      </c>
      <c r="H269" t="s">
        <v>28</v>
      </c>
      <c r="I269" t="s">
        <v>22</v>
      </c>
      <c r="J269">
        <v>33212657</v>
      </c>
      <c r="K269">
        <v>33409265</v>
      </c>
      <c r="L269">
        <v>33310961</v>
      </c>
      <c r="M269">
        <v>0.5737043325472706</v>
      </c>
    </row>
    <row r="270" spans="1:13" x14ac:dyDescent="0.35">
      <c r="A270" t="s">
        <v>128</v>
      </c>
      <c r="B270">
        <v>729</v>
      </c>
      <c r="C270" t="s">
        <v>45</v>
      </c>
      <c r="D270" t="s">
        <v>46</v>
      </c>
      <c r="E270" t="s">
        <v>50</v>
      </c>
      <c r="F270" t="s">
        <v>51</v>
      </c>
      <c r="G270" t="s">
        <v>52</v>
      </c>
      <c r="H270" t="s">
        <v>52</v>
      </c>
      <c r="I270" t="s">
        <v>34</v>
      </c>
      <c r="J270">
        <v>172977017</v>
      </c>
      <c r="K270">
        <v>173173625</v>
      </c>
      <c r="L270">
        <v>173075321</v>
      </c>
      <c r="M270">
        <v>0.5736293245736267</v>
      </c>
    </row>
    <row r="271" spans="1:13" x14ac:dyDescent="0.35">
      <c r="A271" t="s">
        <v>66</v>
      </c>
      <c r="B271">
        <v>724</v>
      </c>
      <c r="C271" t="s">
        <v>45</v>
      </c>
      <c r="D271" t="s">
        <v>58</v>
      </c>
      <c r="E271" t="s">
        <v>50</v>
      </c>
      <c r="F271" t="s">
        <v>59</v>
      </c>
      <c r="G271" t="s">
        <v>60</v>
      </c>
      <c r="H271" t="s">
        <v>60</v>
      </c>
      <c r="I271" t="s">
        <v>43</v>
      </c>
      <c r="J271">
        <v>1336556</v>
      </c>
      <c r="K271">
        <v>1533164</v>
      </c>
      <c r="L271">
        <v>1434860</v>
      </c>
      <c r="M271">
        <v>0.57260105771237535</v>
      </c>
    </row>
    <row r="272" spans="1:13" x14ac:dyDescent="0.35">
      <c r="A272" t="s">
        <v>139</v>
      </c>
      <c r="B272">
        <v>737</v>
      </c>
      <c r="C272" t="s">
        <v>45</v>
      </c>
      <c r="D272" t="s">
        <v>58</v>
      </c>
      <c r="E272" t="s">
        <v>47</v>
      </c>
      <c r="F272" t="s">
        <v>61</v>
      </c>
      <c r="G272" t="s">
        <v>62</v>
      </c>
      <c r="H272" t="s">
        <v>62</v>
      </c>
      <c r="I272" t="s">
        <v>101</v>
      </c>
      <c r="J272">
        <v>63874613</v>
      </c>
      <c r="K272">
        <v>64071221</v>
      </c>
      <c r="L272">
        <v>63972917</v>
      </c>
      <c r="M272">
        <v>0.5725067825517467</v>
      </c>
    </row>
    <row r="273" spans="1:13" x14ac:dyDescent="0.35">
      <c r="A273" t="s">
        <v>86</v>
      </c>
      <c r="B273">
        <v>117</v>
      </c>
      <c r="C273" t="s">
        <v>18</v>
      </c>
      <c r="E273" t="s">
        <v>19</v>
      </c>
      <c r="F273" t="s">
        <v>20</v>
      </c>
      <c r="G273" t="s">
        <v>21</v>
      </c>
      <c r="H273" t="s">
        <v>21</v>
      </c>
      <c r="I273" t="s">
        <v>34</v>
      </c>
      <c r="J273">
        <v>237316100</v>
      </c>
      <c r="K273">
        <v>237512708</v>
      </c>
      <c r="L273">
        <v>237414404</v>
      </c>
      <c r="M273">
        <v>0.57196543497724872</v>
      </c>
    </row>
    <row r="274" spans="1:13" x14ac:dyDescent="0.35">
      <c r="A274" t="s">
        <v>122</v>
      </c>
      <c r="B274">
        <v>724</v>
      </c>
      <c r="C274" t="s">
        <v>45</v>
      </c>
      <c r="D274" t="s">
        <v>58</v>
      </c>
      <c r="E274" t="s">
        <v>50</v>
      </c>
      <c r="F274" t="s">
        <v>59</v>
      </c>
      <c r="G274" t="s">
        <v>60</v>
      </c>
      <c r="H274" t="s">
        <v>60</v>
      </c>
      <c r="I274" t="s">
        <v>72</v>
      </c>
      <c r="J274">
        <v>628649</v>
      </c>
      <c r="K274">
        <v>825257</v>
      </c>
      <c r="L274">
        <v>726953</v>
      </c>
      <c r="M274">
        <v>0.57083430737513341</v>
      </c>
    </row>
    <row r="275" spans="1:13" x14ac:dyDescent="0.35">
      <c r="A275" t="s">
        <v>121</v>
      </c>
      <c r="B275">
        <v>741</v>
      </c>
      <c r="C275" t="s">
        <v>45</v>
      </c>
      <c r="D275" t="s">
        <v>46</v>
      </c>
      <c r="E275" t="s">
        <v>47</v>
      </c>
      <c r="F275" t="s">
        <v>48</v>
      </c>
      <c r="G275" t="s">
        <v>49</v>
      </c>
      <c r="H275" t="s">
        <v>49</v>
      </c>
      <c r="I275" t="s">
        <v>39</v>
      </c>
      <c r="J275">
        <v>17519125</v>
      </c>
      <c r="K275">
        <v>17715733</v>
      </c>
      <c r="L275">
        <v>17617429</v>
      </c>
      <c r="M275">
        <v>0.57049676176936148</v>
      </c>
    </row>
    <row r="276" spans="1:13" x14ac:dyDescent="0.35">
      <c r="A276" t="s">
        <v>33</v>
      </c>
      <c r="B276">
        <v>724</v>
      </c>
      <c r="C276" t="s">
        <v>45</v>
      </c>
      <c r="D276" t="s">
        <v>58</v>
      </c>
      <c r="E276" t="s">
        <v>50</v>
      </c>
      <c r="F276" t="s">
        <v>59</v>
      </c>
      <c r="G276" t="s">
        <v>60</v>
      </c>
      <c r="H276" t="s">
        <v>60</v>
      </c>
      <c r="I276" t="s">
        <v>34</v>
      </c>
      <c r="J276">
        <v>96167854</v>
      </c>
      <c r="K276">
        <v>96364462</v>
      </c>
      <c r="L276">
        <v>96266158</v>
      </c>
      <c r="M276">
        <v>0.56753894254587312</v>
      </c>
    </row>
    <row r="277" spans="1:13" x14ac:dyDescent="0.35">
      <c r="A277" t="s">
        <v>132</v>
      </c>
      <c r="B277">
        <v>116</v>
      </c>
      <c r="C277" t="s">
        <v>18</v>
      </c>
      <c r="E277" t="s">
        <v>26</v>
      </c>
      <c r="F277" t="s">
        <v>27</v>
      </c>
      <c r="G277" t="s">
        <v>28</v>
      </c>
      <c r="H277" t="s">
        <v>28</v>
      </c>
      <c r="I277" t="s">
        <v>31</v>
      </c>
      <c r="J277">
        <v>151298210</v>
      </c>
      <c r="K277">
        <v>151494818</v>
      </c>
      <c r="L277">
        <v>151396514</v>
      </c>
      <c r="M277">
        <v>0.56727328531058074</v>
      </c>
    </row>
    <row r="278" spans="1:13" x14ac:dyDescent="0.35">
      <c r="A278" t="s">
        <v>55</v>
      </c>
      <c r="B278">
        <v>741</v>
      </c>
      <c r="C278" t="s">
        <v>45</v>
      </c>
      <c r="D278" t="s">
        <v>46</v>
      </c>
      <c r="E278" t="s">
        <v>47</v>
      </c>
      <c r="F278" t="s">
        <v>48</v>
      </c>
      <c r="G278" t="s">
        <v>49</v>
      </c>
      <c r="H278" t="s">
        <v>49</v>
      </c>
      <c r="I278" t="s">
        <v>56</v>
      </c>
      <c r="J278">
        <v>9551128</v>
      </c>
      <c r="K278">
        <v>9747736</v>
      </c>
      <c r="L278">
        <v>9649432</v>
      </c>
      <c r="M278">
        <v>0.56651228981181967</v>
      </c>
    </row>
    <row r="279" spans="1:13" x14ac:dyDescent="0.35">
      <c r="A279" t="s">
        <v>136</v>
      </c>
      <c r="B279">
        <v>729</v>
      </c>
      <c r="C279" t="s">
        <v>45</v>
      </c>
      <c r="D279" t="s">
        <v>46</v>
      </c>
      <c r="E279" t="s">
        <v>50</v>
      </c>
      <c r="F279" t="s">
        <v>51</v>
      </c>
      <c r="G279" t="s">
        <v>52</v>
      </c>
      <c r="H279" t="s">
        <v>52</v>
      </c>
      <c r="I279" t="s">
        <v>43</v>
      </c>
      <c r="J279">
        <v>25701888</v>
      </c>
      <c r="K279">
        <v>25898496</v>
      </c>
      <c r="L279">
        <v>25800192</v>
      </c>
      <c r="M279">
        <v>0.56491902701336572</v>
      </c>
    </row>
    <row r="280" spans="1:13" x14ac:dyDescent="0.35">
      <c r="A280" t="s">
        <v>123</v>
      </c>
      <c r="B280">
        <v>116</v>
      </c>
      <c r="C280" t="s">
        <v>18</v>
      </c>
      <c r="E280" t="s">
        <v>26</v>
      </c>
      <c r="F280" t="s">
        <v>27</v>
      </c>
      <c r="G280" t="s">
        <v>28</v>
      </c>
      <c r="H280" t="s">
        <v>28</v>
      </c>
      <c r="I280" t="s">
        <v>39</v>
      </c>
      <c r="J280">
        <v>67989592</v>
      </c>
      <c r="K280">
        <v>68186200</v>
      </c>
      <c r="L280">
        <v>68087896</v>
      </c>
      <c r="M280">
        <v>0.56362947512794315</v>
      </c>
    </row>
    <row r="281" spans="1:13" x14ac:dyDescent="0.35">
      <c r="A281" t="s">
        <v>107</v>
      </c>
      <c r="B281">
        <v>724</v>
      </c>
      <c r="C281" t="s">
        <v>45</v>
      </c>
      <c r="D281" t="s">
        <v>58</v>
      </c>
      <c r="E281" t="s">
        <v>50</v>
      </c>
      <c r="F281" t="s">
        <v>59</v>
      </c>
      <c r="G281" t="s">
        <v>60</v>
      </c>
      <c r="H281" t="s">
        <v>60</v>
      </c>
      <c r="I281" t="s">
        <v>56</v>
      </c>
      <c r="J281">
        <v>42587142</v>
      </c>
      <c r="K281">
        <v>42783750</v>
      </c>
      <c r="L281">
        <v>42685446</v>
      </c>
      <c r="M281">
        <v>0.56152288965722208</v>
      </c>
    </row>
    <row r="282" spans="1:13" x14ac:dyDescent="0.35">
      <c r="A282" t="s">
        <v>102</v>
      </c>
      <c r="B282">
        <v>117</v>
      </c>
      <c r="C282" t="s">
        <v>18</v>
      </c>
      <c r="E282" t="s">
        <v>19</v>
      </c>
      <c r="F282" t="s">
        <v>20</v>
      </c>
      <c r="G282" t="s">
        <v>21</v>
      </c>
      <c r="H282" t="s">
        <v>21</v>
      </c>
      <c r="I282" t="s">
        <v>37</v>
      </c>
      <c r="J282">
        <v>109204447</v>
      </c>
      <c r="K282">
        <v>109401055</v>
      </c>
      <c r="L282">
        <v>109302751</v>
      </c>
      <c r="M282">
        <v>0.55839865120994359</v>
      </c>
    </row>
    <row r="283" spans="1:13" x14ac:dyDescent="0.35">
      <c r="A283" t="s">
        <v>109</v>
      </c>
      <c r="B283">
        <v>724</v>
      </c>
      <c r="C283" t="s">
        <v>45</v>
      </c>
      <c r="D283" t="s">
        <v>58</v>
      </c>
      <c r="E283" t="s">
        <v>50</v>
      </c>
      <c r="F283" t="s">
        <v>59</v>
      </c>
      <c r="G283" t="s">
        <v>60</v>
      </c>
      <c r="H283" t="s">
        <v>60</v>
      </c>
      <c r="I283" t="s">
        <v>37</v>
      </c>
      <c r="J283">
        <v>3365001</v>
      </c>
      <c r="K283">
        <v>3561609</v>
      </c>
      <c r="L283">
        <v>3463305</v>
      </c>
      <c r="M283">
        <v>0.55821907962394246</v>
      </c>
    </row>
    <row r="284" spans="1:13" x14ac:dyDescent="0.35">
      <c r="A284" t="s">
        <v>134</v>
      </c>
      <c r="B284">
        <v>741</v>
      </c>
      <c r="C284" t="s">
        <v>45</v>
      </c>
      <c r="D284" t="s">
        <v>46</v>
      </c>
      <c r="E284" t="s">
        <v>47</v>
      </c>
      <c r="F284" t="s">
        <v>48</v>
      </c>
      <c r="G284" t="s">
        <v>49</v>
      </c>
      <c r="H284" t="s">
        <v>49</v>
      </c>
      <c r="I284" t="s">
        <v>76</v>
      </c>
      <c r="J284">
        <v>40367936</v>
      </c>
      <c r="K284">
        <v>40564544</v>
      </c>
      <c r="L284">
        <v>40466240</v>
      </c>
      <c r="M284">
        <v>0.55565346388025605</v>
      </c>
    </row>
    <row r="285" spans="1:13" x14ac:dyDescent="0.35">
      <c r="A285" t="s">
        <v>90</v>
      </c>
      <c r="B285">
        <v>737</v>
      </c>
      <c r="C285" t="s">
        <v>45</v>
      </c>
      <c r="D285" t="s">
        <v>58</v>
      </c>
      <c r="E285" t="s">
        <v>47</v>
      </c>
      <c r="F285" t="s">
        <v>61</v>
      </c>
      <c r="G285" t="s">
        <v>62</v>
      </c>
      <c r="H285" t="s">
        <v>62</v>
      </c>
      <c r="I285" t="s">
        <v>91</v>
      </c>
      <c r="J285">
        <v>45883450</v>
      </c>
      <c r="K285">
        <v>46080058</v>
      </c>
      <c r="L285">
        <v>45981754</v>
      </c>
      <c r="M285">
        <v>0.5550462384379341</v>
      </c>
    </row>
    <row r="286" spans="1:13" x14ac:dyDescent="0.35">
      <c r="A286" t="s">
        <v>140</v>
      </c>
      <c r="B286">
        <v>724</v>
      </c>
      <c r="C286" t="s">
        <v>45</v>
      </c>
      <c r="D286" t="s">
        <v>58</v>
      </c>
      <c r="E286" t="s">
        <v>50</v>
      </c>
      <c r="F286" t="s">
        <v>59</v>
      </c>
      <c r="G286" t="s">
        <v>60</v>
      </c>
      <c r="H286" t="s">
        <v>60</v>
      </c>
      <c r="I286" t="s">
        <v>101</v>
      </c>
      <c r="J286">
        <v>35048190</v>
      </c>
      <c r="K286">
        <v>35244798</v>
      </c>
      <c r="L286">
        <v>35146494</v>
      </c>
      <c r="M286">
        <v>0.55338884782186148</v>
      </c>
    </row>
    <row r="287" spans="1:13" x14ac:dyDescent="0.35">
      <c r="A287" t="s">
        <v>136</v>
      </c>
      <c r="B287">
        <v>737</v>
      </c>
      <c r="C287" t="s">
        <v>45</v>
      </c>
      <c r="D287" t="s">
        <v>58</v>
      </c>
      <c r="E287" t="s">
        <v>47</v>
      </c>
      <c r="F287" t="s">
        <v>61</v>
      </c>
      <c r="G287" t="s">
        <v>62</v>
      </c>
      <c r="H287" t="s">
        <v>62</v>
      </c>
      <c r="I287" t="s">
        <v>43</v>
      </c>
      <c r="J287">
        <v>25701888</v>
      </c>
      <c r="K287">
        <v>25898496</v>
      </c>
      <c r="L287">
        <v>25800192</v>
      </c>
      <c r="M287">
        <v>0.55326328924409673</v>
      </c>
    </row>
    <row r="288" spans="1:13" x14ac:dyDescent="0.35">
      <c r="A288" t="s">
        <v>84</v>
      </c>
      <c r="B288">
        <v>724</v>
      </c>
      <c r="C288" t="s">
        <v>45</v>
      </c>
      <c r="D288" t="s">
        <v>58</v>
      </c>
      <c r="E288" t="s">
        <v>50</v>
      </c>
      <c r="F288" t="s">
        <v>59</v>
      </c>
      <c r="G288" t="s">
        <v>60</v>
      </c>
      <c r="H288" t="s">
        <v>60</v>
      </c>
      <c r="I288" t="s">
        <v>83</v>
      </c>
      <c r="J288">
        <v>157237076</v>
      </c>
      <c r="K288">
        <v>157433684</v>
      </c>
      <c r="L288">
        <v>157335380</v>
      </c>
      <c r="M288">
        <v>0.55256377040339566</v>
      </c>
    </row>
    <row r="289" spans="1:13" x14ac:dyDescent="0.35">
      <c r="A289" t="s">
        <v>70</v>
      </c>
      <c r="B289">
        <v>741</v>
      </c>
      <c r="C289" t="s">
        <v>45</v>
      </c>
      <c r="D289" t="s">
        <v>46</v>
      </c>
      <c r="E289" t="s">
        <v>47</v>
      </c>
      <c r="F289" t="s">
        <v>48</v>
      </c>
      <c r="G289" t="s">
        <v>49</v>
      </c>
      <c r="H289" t="s">
        <v>49</v>
      </c>
      <c r="I289" t="s">
        <v>56</v>
      </c>
      <c r="J289">
        <v>134553331</v>
      </c>
      <c r="K289">
        <v>134749939</v>
      </c>
      <c r="L289">
        <v>134651635</v>
      </c>
      <c r="M289">
        <v>0.55218453222604236</v>
      </c>
    </row>
    <row r="290" spans="1:13" x14ac:dyDescent="0.35">
      <c r="A290" t="s">
        <v>134</v>
      </c>
      <c r="B290">
        <v>116</v>
      </c>
      <c r="C290" t="s">
        <v>18</v>
      </c>
      <c r="E290" t="s">
        <v>26</v>
      </c>
      <c r="F290" t="s">
        <v>27</v>
      </c>
      <c r="G290" t="s">
        <v>28</v>
      </c>
      <c r="H290" t="s">
        <v>28</v>
      </c>
      <c r="I290" t="s">
        <v>76</v>
      </c>
      <c r="J290">
        <v>40367936</v>
      </c>
      <c r="K290">
        <v>40564544</v>
      </c>
      <c r="L290">
        <v>40466240</v>
      </c>
      <c r="M290">
        <v>0.54855464876195292</v>
      </c>
    </row>
    <row r="291" spans="1:13" x14ac:dyDescent="0.35">
      <c r="A291" t="s">
        <v>141</v>
      </c>
      <c r="B291">
        <v>741</v>
      </c>
      <c r="C291" t="s">
        <v>45</v>
      </c>
      <c r="D291" t="s">
        <v>46</v>
      </c>
      <c r="E291" t="s">
        <v>47</v>
      </c>
      <c r="F291" t="s">
        <v>48</v>
      </c>
      <c r="G291" t="s">
        <v>49</v>
      </c>
      <c r="H291" t="s">
        <v>49</v>
      </c>
      <c r="I291" t="s">
        <v>101</v>
      </c>
      <c r="J291">
        <v>10559004</v>
      </c>
      <c r="K291">
        <v>10755612</v>
      </c>
      <c r="L291">
        <v>10657308</v>
      </c>
      <c r="M291">
        <v>0.54846612590144195</v>
      </c>
    </row>
    <row r="292" spans="1:13" x14ac:dyDescent="0.35">
      <c r="A292" t="s">
        <v>138</v>
      </c>
      <c r="B292">
        <v>116</v>
      </c>
      <c r="C292" t="s">
        <v>18</v>
      </c>
      <c r="E292" t="s">
        <v>26</v>
      </c>
      <c r="F292" t="s">
        <v>27</v>
      </c>
      <c r="G292" t="s">
        <v>28</v>
      </c>
      <c r="H292" t="s">
        <v>28</v>
      </c>
      <c r="I292" t="s">
        <v>39</v>
      </c>
      <c r="J292">
        <v>29638818</v>
      </c>
      <c r="K292">
        <v>29835426</v>
      </c>
      <c r="L292">
        <v>29737122</v>
      </c>
      <c r="M292">
        <v>0.54582404553144492</v>
      </c>
    </row>
    <row r="293" spans="1:13" x14ac:dyDescent="0.35">
      <c r="A293" t="s">
        <v>57</v>
      </c>
      <c r="B293">
        <v>117</v>
      </c>
      <c r="C293" t="s">
        <v>18</v>
      </c>
      <c r="E293" t="s">
        <v>19</v>
      </c>
      <c r="F293" t="s">
        <v>20</v>
      </c>
      <c r="G293" t="s">
        <v>21</v>
      </c>
      <c r="H293" t="s">
        <v>21</v>
      </c>
      <c r="I293" t="s">
        <v>56</v>
      </c>
      <c r="J293">
        <v>180769836</v>
      </c>
      <c r="K293">
        <v>180966444</v>
      </c>
      <c r="L293">
        <v>180868140</v>
      </c>
      <c r="M293">
        <v>0.54454851744599087</v>
      </c>
    </row>
    <row r="294" spans="1:13" x14ac:dyDescent="0.35">
      <c r="A294" t="s">
        <v>126</v>
      </c>
      <c r="B294">
        <v>724</v>
      </c>
      <c r="C294" t="s">
        <v>45</v>
      </c>
      <c r="D294" t="s">
        <v>58</v>
      </c>
      <c r="E294" t="s">
        <v>50</v>
      </c>
      <c r="F294" t="s">
        <v>59</v>
      </c>
      <c r="G294" t="s">
        <v>60</v>
      </c>
      <c r="H294" t="s">
        <v>60</v>
      </c>
      <c r="I294" t="s">
        <v>88</v>
      </c>
      <c r="J294">
        <v>111825417</v>
      </c>
      <c r="K294">
        <v>112022025</v>
      </c>
      <c r="L294">
        <v>111923721</v>
      </c>
      <c r="M294">
        <v>0.54358815878034639</v>
      </c>
    </row>
    <row r="295" spans="1:13" x14ac:dyDescent="0.35">
      <c r="A295" t="s">
        <v>138</v>
      </c>
      <c r="B295">
        <v>741</v>
      </c>
      <c r="C295" t="s">
        <v>45</v>
      </c>
      <c r="D295" t="s">
        <v>46</v>
      </c>
      <c r="E295" t="s">
        <v>47</v>
      </c>
      <c r="F295" t="s">
        <v>48</v>
      </c>
      <c r="G295" t="s">
        <v>49</v>
      </c>
      <c r="H295" t="s">
        <v>49</v>
      </c>
      <c r="I295" t="s">
        <v>39</v>
      </c>
      <c r="J295">
        <v>29638818</v>
      </c>
      <c r="K295">
        <v>29835426</v>
      </c>
      <c r="L295">
        <v>29737122</v>
      </c>
      <c r="M295">
        <v>0.54232473892171629</v>
      </c>
    </row>
    <row r="296" spans="1:13" x14ac:dyDescent="0.35">
      <c r="A296" t="s">
        <v>128</v>
      </c>
      <c r="B296">
        <v>116</v>
      </c>
      <c r="C296" t="s">
        <v>18</v>
      </c>
      <c r="E296" t="s">
        <v>26</v>
      </c>
      <c r="F296" t="s">
        <v>27</v>
      </c>
      <c r="G296" t="s">
        <v>28</v>
      </c>
      <c r="H296" t="s">
        <v>28</v>
      </c>
      <c r="I296" t="s">
        <v>34</v>
      </c>
      <c r="J296">
        <v>172977017</v>
      </c>
      <c r="K296">
        <v>173173625</v>
      </c>
      <c r="L296">
        <v>173075321</v>
      </c>
      <c r="M296">
        <v>0.54111187514286097</v>
      </c>
    </row>
    <row r="297" spans="1:13" x14ac:dyDescent="0.35">
      <c r="A297" t="s">
        <v>89</v>
      </c>
      <c r="B297">
        <v>724</v>
      </c>
      <c r="C297" t="s">
        <v>45</v>
      </c>
      <c r="D297" t="s">
        <v>58</v>
      </c>
      <c r="E297" t="s">
        <v>50</v>
      </c>
      <c r="F297" t="s">
        <v>59</v>
      </c>
      <c r="G297" t="s">
        <v>60</v>
      </c>
      <c r="H297" t="s">
        <v>60</v>
      </c>
      <c r="I297" t="s">
        <v>43</v>
      </c>
      <c r="J297">
        <v>155984267</v>
      </c>
      <c r="K297">
        <v>156180875</v>
      </c>
      <c r="L297">
        <v>156082571</v>
      </c>
      <c r="M297">
        <v>0.54046503681237834</v>
      </c>
    </row>
    <row r="298" spans="1:13" x14ac:dyDescent="0.35">
      <c r="A298" t="s">
        <v>32</v>
      </c>
      <c r="B298">
        <v>724</v>
      </c>
      <c r="C298" t="s">
        <v>45</v>
      </c>
      <c r="D298" t="s">
        <v>58</v>
      </c>
      <c r="E298" t="s">
        <v>50</v>
      </c>
      <c r="F298" t="s">
        <v>59</v>
      </c>
      <c r="G298" t="s">
        <v>60</v>
      </c>
      <c r="H298" t="s">
        <v>60</v>
      </c>
      <c r="I298" t="s">
        <v>31</v>
      </c>
      <c r="J298">
        <v>150470112</v>
      </c>
      <c r="K298">
        <v>150666720</v>
      </c>
      <c r="L298">
        <v>150568416</v>
      </c>
      <c r="M298">
        <v>0.54040618603203372</v>
      </c>
    </row>
    <row r="299" spans="1:13" x14ac:dyDescent="0.35">
      <c r="A299" t="s">
        <v>137</v>
      </c>
      <c r="B299">
        <v>737</v>
      </c>
      <c r="C299" t="s">
        <v>45</v>
      </c>
      <c r="D299" t="s">
        <v>58</v>
      </c>
      <c r="E299" t="s">
        <v>47</v>
      </c>
      <c r="F299" t="s">
        <v>61</v>
      </c>
      <c r="G299" t="s">
        <v>62</v>
      </c>
      <c r="H299" t="s">
        <v>62</v>
      </c>
      <c r="I299" t="s">
        <v>34</v>
      </c>
      <c r="J299">
        <v>151636182</v>
      </c>
      <c r="K299">
        <v>151832790</v>
      </c>
      <c r="L299">
        <v>151734486</v>
      </c>
      <c r="M299">
        <v>0.53968228487221259</v>
      </c>
    </row>
    <row r="300" spans="1:13" x14ac:dyDescent="0.35">
      <c r="A300" t="s">
        <v>89</v>
      </c>
      <c r="B300">
        <v>729</v>
      </c>
      <c r="C300" t="s">
        <v>45</v>
      </c>
      <c r="D300" t="s">
        <v>46</v>
      </c>
      <c r="E300" t="s">
        <v>50</v>
      </c>
      <c r="F300" t="s">
        <v>51</v>
      </c>
      <c r="G300" t="s">
        <v>52</v>
      </c>
      <c r="H300" t="s">
        <v>52</v>
      </c>
      <c r="I300" t="s">
        <v>43</v>
      </c>
      <c r="J300">
        <v>155984267</v>
      </c>
      <c r="K300">
        <v>156180875</v>
      </c>
      <c r="L300">
        <v>156082571</v>
      </c>
      <c r="M300">
        <v>0.5324241397865711</v>
      </c>
    </row>
    <row r="301" spans="1:13" x14ac:dyDescent="0.35">
      <c r="A301" t="s">
        <v>98</v>
      </c>
      <c r="B301">
        <v>116</v>
      </c>
      <c r="C301" t="s">
        <v>18</v>
      </c>
      <c r="E301" t="s">
        <v>26</v>
      </c>
      <c r="F301" t="s">
        <v>27</v>
      </c>
      <c r="G301" t="s">
        <v>28</v>
      </c>
      <c r="H301" t="s">
        <v>28</v>
      </c>
      <c r="I301" t="s">
        <v>37</v>
      </c>
      <c r="J301">
        <v>105375808</v>
      </c>
      <c r="K301">
        <v>105572416</v>
      </c>
      <c r="L301">
        <v>105474112</v>
      </c>
      <c r="M301">
        <v>0.53021596292644568</v>
      </c>
    </row>
    <row r="302" spans="1:13" x14ac:dyDescent="0.35">
      <c r="A302" t="s">
        <v>111</v>
      </c>
      <c r="B302">
        <v>724</v>
      </c>
      <c r="C302" t="s">
        <v>45</v>
      </c>
      <c r="D302" t="s">
        <v>58</v>
      </c>
      <c r="E302" t="s">
        <v>50</v>
      </c>
      <c r="F302" t="s">
        <v>59</v>
      </c>
      <c r="G302" t="s">
        <v>60</v>
      </c>
      <c r="H302" t="s">
        <v>60</v>
      </c>
      <c r="I302" t="s">
        <v>112</v>
      </c>
      <c r="J302">
        <v>34616518</v>
      </c>
      <c r="K302">
        <v>34813126</v>
      </c>
      <c r="L302">
        <v>34714822</v>
      </c>
      <c r="M302">
        <v>0.52864538359080515</v>
      </c>
    </row>
    <row r="303" spans="1:13" x14ac:dyDescent="0.35">
      <c r="A303" t="s">
        <v>109</v>
      </c>
      <c r="B303">
        <v>737</v>
      </c>
      <c r="C303" t="s">
        <v>45</v>
      </c>
      <c r="D303" t="s">
        <v>58</v>
      </c>
      <c r="E303" t="s">
        <v>47</v>
      </c>
      <c r="F303" t="s">
        <v>61</v>
      </c>
      <c r="G303" t="s">
        <v>62</v>
      </c>
      <c r="H303" t="s">
        <v>62</v>
      </c>
      <c r="I303" t="s">
        <v>37</v>
      </c>
      <c r="J303">
        <v>3365001</v>
      </c>
      <c r="K303">
        <v>3561609</v>
      </c>
      <c r="L303">
        <v>3463305</v>
      </c>
      <c r="M303">
        <v>0.52641627214648223</v>
      </c>
    </row>
    <row r="304" spans="1:13" x14ac:dyDescent="0.35">
      <c r="A304" t="s">
        <v>118</v>
      </c>
      <c r="B304">
        <v>729</v>
      </c>
      <c r="C304" t="s">
        <v>45</v>
      </c>
      <c r="D304" t="s">
        <v>46</v>
      </c>
      <c r="E304" t="s">
        <v>50</v>
      </c>
      <c r="F304" t="s">
        <v>51</v>
      </c>
      <c r="G304" t="s">
        <v>52</v>
      </c>
      <c r="H304" t="s">
        <v>52</v>
      </c>
      <c r="I304" t="s">
        <v>76</v>
      </c>
      <c r="J304">
        <v>18963392</v>
      </c>
      <c r="K304">
        <v>19160000</v>
      </c>
      <c r="L304">
        <v>19061696</v>
      </c>
      <c r="M304">
        <v>0.52550329195403389</v>
      </c>
    </row>
    <row r="305" spans="1:13" x14ac:dyDescent="0.35">
      <c r="A305" t="s">
        <v>115</v>
      </c>
      <c r="B305">
        <v>741</v>
      </c>
      <c r="C305" t="s">
        <v>45</v>
      </c>
      <c r="D305" t="s">
        <v>46</v>
      </c>
      <c r="E305" t="s">
        <v>47</v>
      </c>
      <c r="F305" t="s">
        <v>48</v>
      </c>
      <c r="G305" t="s">
        <v>49</v>
      </c>
      <c r="H305" t="s">
        <v>49</v>
      </c>
      <c r="I305" t="s">
        <v>112</v>
      </c>
      <c r="J305">
        <v>23337832</v>
      </c>
      <c r="K305">
        <v>23534440</v>
      </c>
      <c r="L305">
        <v>23436136</v>
      </c>
      <c r="M305">
        <v>0.52383212751477659</v>
      </c>
    </row>
    <row r="306" spans="1:13" x14ac:dyDescent="0.35">
      <c r="A306" t="s">
        <v>129</v>
      </c>
      <c r="B306">
        <v>729</v>
      </c>
      <c r="C306" t="s">
        <v>45</v>
      </c>
      <c r="D306" t="s">
        <v>46</v>
      </c>
      <c r="E306" t="s">
        <v>50</v>
      </c>
      <c r="F306" t="s">
        <v>51</v>
      </c>
      <c r="G306" t="s">
        <v>52</v>
      </c>
      <c r="H306" t="s">
        <v>52</v>
      </c>
      <c r="I306" t="s">
        <v>56</v>
      </c>
      <c r="J306">
        <v>69024727</v>
      </c>
      <c r="K306">
        <v>69221335</v>
      </c>
      <c r="L306">
        <v>69123031</v>
      </c>
      <c r="M306">
        <v>0.52327695577108935</v>
      </c>
    </row>
    <row r="307" spans="1:13" x14ac:dyDescent="0.35">
      <c r="A307" t="s">
        <v>125</v>
      </c>
      <c r="B307">
        <v>737</v>
      </c>
      <c r="C307" t="s">
        <v>45</v>
      </c>
      <c r="D307" t="s">
        <v>58</v>
      </c>
      <c r="E307" t="s">
        <v>47</v>
      </c>
      <c r="F307" t="s">
        <v>61</v>
      </c>
      <c r="G307" t="s">
        <v>62</v>
      </c>
      <c r="H307" t="s">
        <v>62</v>
      </c>
      <c r="I307" t="s">
        <v>34</v>
      </c>
      <c r="J307">
        <v>219319169</v>
      </c>
      <c r="K307">
        <v>219515777</v>
      </c>
      <c r="L307">
        <v>219417473</v>
      </c>
      <c r="M307">
        <v>0.52300334634899459</v>
      </c>
    </row>
    <row r="308" spans="1:13" x14ac:dyDescent="0.35">
      <c r="A308" t="s">
        <v>82</v>
      </c>
      <c r="B308">
        <v>741</v>
      </c>
      <c r="C308" t="s">
        <v>45</v>
      </c>
      <c r="D308" t="s">
        <v>46</v>
      </c>
      <c r="E308" t="s">
        <v>47</v>
      </c>
      <c r="F308" t="s">
        <v>48</v>
      </c>
      <c r="G308" t="s">
        <v>49</v>
      </c>
      <c r="H308" t="s">
        <v>49</v>
      </c>
      <c r="I308" t="s">
        <v>83</v>
      </c>
      <c r="J308">
        <v>29928397</v>
      </c>
      <c r="K308">
        <v>30125005</v>
      </c>
      <c r="L308">
        <v>30026701</v>
      </c>
      <c r="M308">
        <v>0.52049291775233875</v>
      </c>
    </row>
    <row r="309" spans="1:13" x14ac:dyDescent="0.35">
      <c r="A309" t="s">
        <v>123</v>
      </c>
      <c r="B309">
        <v>729</v>
      </c>
      <c r="C309" t="s">
        <v>45</v>
      </c>
      <c r="D309" t="s">
        <v>46</v>
      </c>
      <c r="E309" t="s">
        <v>50</v>
      </c>
      <c r="F309" t="s">
        <v>51</v>
      </c>
      <c r="G309" t="s">
        <v>52</v>
      </c>
      <c r="H309" t="s">
        <v>52</v>
      </c>
      <c r="I309" t="s">
        <v>39</v>
      </c>
      <c r="J309">
        <v>67989592</v>
      </c>
      <c r="K309">
        <v>68186200</v>
      </c>
      <c r="L309">
        <v>68087896</v>
      </c>
      <c r="M309">
        <v>0.51980190794546755</v>
      </c>
    </row>
    <row r="310" spans="1:13" x14ac:dyDescent="0.35">
      <c r="A310" t="s">
        <v>142</v>
      </c>
      <c r="B310">
        <v>116</v>
      </c>
      <c r="C310" t="s">
        <v>18</v>
      </c>
      <c r="E310" t="s">
        <v>26</v>
      </c>
      <c r="F310" t="s">
        <v>27</v>
      </c>
      <c r="G310" t="s">
        <v>28</v>
      </c>
      <c r="H310" t="s">
        <v>28</v>
      </c>
      <c r="I310" t="s">
        <v>43</v>
      </c>
      <c r="J310">
        <v>236565836</v>
      </c>
      <c r="K310">
        <v>236762444</v>
      </c>
      <c r="L310">
        <v>236664140</v>
      </c>
      <c r="M310">
        <v>0.51906978269190474</v>
      </c>
    </row>
    <row r="311" spans="1:13" x14ac:dyDescent="0.35">
      <c r="A311" t="s">
        <v>133</v>
      </c>
      <c r="B311">
        <v>737</v>
      </c>
      <c r="C311" t="s">
        <v>45</v>
      </c>
      <c r="D311" t="s">
        <v>58</v>
      </c>
      <c r="E311" t="s">
        <v>47</v>
      </c>
      <c r="F311" t="s">
        <v>61</v>
      </c>
      <c r="G311" t="s">
        <v>62</v>
      </c>
      <c r="H311" t="s">
        <v>62</v>
      </c>
      <c r="I311" t="s">
        <v>104</v>
      </c>
      <c r="J311">
        <v>133430307</v>
      </c>
      <c r="K311">
        <v>133626915</v>
      </c>
      <c r="L311">
        <v>133528611</v>
      </c>
      <c r="M311">
        <v>0.51643050053378536</v>
      </c>
    </row>
    <row r="312" spans="1:13" x14ac:dyDescent="0.35">
      <c r="A312" t="s">
        <v>67</v>
      </c>
      <c r="B312">
        <v>117</v>
      </c>
      <c r="C312" t="s">
        <v>18</v>
      </c>
      <c r="E312" t="s">
        <v>19</v>
      </c>
      <c r="F312" t="s">
        <v>20</v>
      </c>
      <c r="G312" t="s">
        <v>21</v>
      </c>
      <c r="H312" t="s">
        <v>21</v>
      </c>
      <c r="I312" t="s">
        <v>34</v>
      </c>
      <c r="J312">
        <v>169411382</v>
      </c>
      <c r="K312">
        <v>169607990</v>
      </c>
      <c r="L312">
        <v>169509686</v>
      </c>
      <c r="M312">
        <v>0.51629109597591072</v>
      </c>
    </row>
    <row r="313" spans="1:13" x14ac:dyDescent="0.35">
      <c r="A313" t="s">
        <v>132</v>
      </c>
      <c r="B313">
        <v>724</v>
      </c>
      <c r="C313" t="s">
        <v>45</v>
      </c>
      <c r="D313" t="s">
        <v>58</v>
      </c>
      <c r="E313" t="s">
        <v>50</v>
      </c>
      <c r="F313" t="s">
        <v>59</v>
      </c>
      <c r="G313" t="s">
        <v>60</v>
      </c>
      <c r="H313" t="s">
        <v>60</v>
      </c>
      <c r="I313" t="s">
        <v>31</v>
      </c>
      <c r="J313">
        <v>151298210</v>
      </c>
      <c r="K313">
        <v>151494818</v>
      </c>
      <c r="L313">
        <v>151396514</v>
      </c>
      <c r="M313">
        <v>0.51551251421389188</v>
      </c>
    </row>
    <row r="314" spans="1:13" x14ac:dyDescent="0.35">
      <c r="A314" t="s">
        <v>133</v>
      </c>
      <c r="B314">
        <v>724</v>
      </c>
      <c r="C314" t="s">
        <v>45</v>
      </c>
      <c r="D314" t="s">
        <v>58</v>
      </c>
      <c r="E314" t="s">
        <v>50</v>
      </c>
      <c r="F314" t="s">
        <v>59</v>
      </c>
      <c r="G314" t="s">
        <v>60</v>
      </c>
      <c r="H314" t="s">
        <v>60</v>
      </c>
      <c r="I314" t="s">
        <v>104</v>
      </c>
      <c r="J314">
        <v>133430307</v>
      </c>
      <c r="K314">
        <v>133626915</v>
      </c>
      <c r="L314">
        <v>133528611</v>
      </c>
      <c r="M314">
        <v>0.5150672559733841</v>
      </c>
    </row>
    <row r="315" spans="1:13" x14ac:dyDescent="0.35">
      <c r="A315" t="s">
        <v>143</v>
      </c>
      <c r="B315">
        <v>117</v>
      </c>
      <c r="C315" t="s">
        <v>18</v>
      </c>
      <c r="E315" t="s">
        <v>19</v>
      </c>
      <c r="F315" t="s">
        <v>20</v>
      </c>
      <c r="G315" t="s">
        <v>21</v>
      </c>
      <c r="H315" t="s">
        <v>21</v>
      </c>
      <c r="I315" t="s">
        <v>83</v>
      </c>
      <c r="J315">
        <v>26103224</v>
      </c>
      <c r="K315">
        <v>26299832</v>
      </c>
      <c r="L315">
        <v>26201528</v>
      </c>
      <c r="M315">
        <v>0.51182359174247682</v>
      </c>
    </row>
    <row r="316" spans="1:13" x14ac:dyDescent="0.35">
      <c r="A316" t="s">
        <v>82</v>
      </c>
      <c r="B316">
        <v>737</v>
      </c>
      <c r="C316" t="s">
        <v>45</v>
      </c>
      <c r="D316" t="s">
        <v>58</v>
      </c>
      <c r="E316" t="s">
        <v>47</v>
      </c>
      <c r="F316" t="s">
        <v>61</v>
      </c>
      <c r="G316" t="s">
        <v>62</v>
      </c>
      <c r="H316" t="s">
        <v>62</v>
      </c>
      <c r="I316" t="s">
        <v>83</v>
      </c>
      <c r="J316">
        <v>29928397</v>
      </c>
      <c r="K316">
        <v>30125005</v>
      </c>
      <c r="L316">
        <v>30026701</v>
      </c>
      <c r="M316">
        <v>0.51180390111030627</v>
      </c>
    </row>
    <row r="317" spans="1:13" x14ac:dyDescent="0.35">
      <c r="A317" t="s">
        <v>95</v>
      </c>
      <c r="B317">
        <v>116</v>
      </c>
      <c r="C317" t="s">
        <v>18</v>
      </c>
      <c r="E317" t="s">
        <v>26</v>
      </c>
      <c r="F317" t="s">
        <v>27</v>
      </c>
      <c r="G317" t="s">
        <v>28</v>
      </c>
      <c r="H317" t="s">
        <v>28</v>
      </c>
      <c r="I317" t="s">
        <v>43</v>
      </c>
      <c r="J317">
        <v>229336484</v>
      </c>
      <c r="K317">
        <v>229533092</v>
      </c>
      <c r="L317">
        <v>229434788</v>
      </c>
      <c r="M317">
        <v>0.51140670427258283</v>
      </c>
    </row>
    <row r="318" spans="1:13" x14ac:dyDescent="0.35">
      <c r="A318" t="s">
        <v>117</v>
      </c>
      <c r="B318">
        <v>729</v>
      </c>
      <c r="C318" t="s">
        <v>45</v>
      </c>
      <c r="D318" t="s">
        <v>46</v>
      </c>
      <c r="E318" t="s">
        <v>50</v>
      </c>
      <c r="F318" t="s">
        <v>51</v>
      </c>
      <c r="G318" t="s">
        <v>52</v>
      </c>
      <c r="H318" t="s">
        <v>52</v>
      </c>
      <c r="I318" t="s">
        <v>39</v>
      </c>
      <c r="J318">
        <v>119552574</v>
      </c>
      <c r="K318">
        <v>119749182</v>
      </c>
      <c r="L318">
        <v>119650878</v>
      </c>
      <c r="M318">
        <v>0.51132131718979745</v>
      </c>
    </row>
    <row r="319" spans="1:13" x14ac:dyDescent="0.35">
      <c r="A319" t="s">
        <v>141</v>
      </c>
      <c r="B319">
        <v>116</v>
      </c>
      <c r="C319" t="s">
        <v>18</v>
      </c>
      <c r="E319" t="s">
        <v>26</v>
      </c>
      <c r="F319" t="s">
        <v>27</v>
      </c>
      <c r="G319" t="s">
        <v>28</v>
      </c>
      <c r="H319" t="s">
        <v>28</v>
      </c>
      <c r="I319" t="s">
        <v>101</v>
      </c>
      <c r="J319">
        <v>10559004</v>
      </c>
      <c r="K319">
        <v>10755612</v>
      </c>
      <c r="L319">
        <v>10657308</v>
      </c>
      <c r="M319">
        <v>0.50922096644470893</v>
      </c>
    </row>
    <row r="320" spans="1:13" x14ac:dyDescent="0.35">
      <c r="A320" t="s">
        <v>114</v>
      </c>
      <c r="B320">
        <v>724</v>
      </c>
      <c r="C320" t="s">
        <v>45</v>
      </c>
      <c r="D320" t="s">
        <v>58</v>
      </c>
      <c r="E320" t="s">
        <v>50</v>
      </c>
      <c r="F320" t="s">
        <v>59</v>
      </c>
      <c r="G320" t="s">
        <v>60</v>
      </c>
      <c r="H320" t="s">
        <v>60</v>
      </c>
      <c r="I320" t="s">
        <v>34</v>
      </c>
      <c r="J320">
        <v>219336538</v>
      </c>
      <c r="K320">
        <v>219533146</v>
      </c>
      <c r="L320">
        <v>219434842</v>
      </c>
      <c r="M320">
        <v>0.50851403759154357</v>
      </c>
    </row>
    <row r="321" spans="1:13" x14ac:dyDescent="0.35">
      <c r="A321" t="s">
        <v>85</v>
      </c>
      <c r="B321">
        <v>737</v>
      </c>
      <c r="C321" t="s">
        <v>45</v>
      </c>
      <c r="D321" t="s">
        <v>58</v>
      </c>
      <c r="E321" t="s">
        <v>47</v>
      </c>
      <c r="F321" t="s">
        <v>61</v>
      </c>
      <c r="G321" t="s">
        <v>62</v>
      </c>
      <c r="H321" t="s">
        <v>62</v>
      </c>
      <c r="I321" t="s">
        <v>24</v>
      </c>
      <c r="J321">
        <v>121528204</v>
      </c>
      <c r="K321">
        <v>121724812</v>
      </c>
      <c r="L321">
        <v>121626508</v>
      </c>
      <c r="M321">
        <v>0.50754569322349874</v>
      </c>
    </row>
    <row r="322" spans="1:13" x14ac:dyDescent="0.35">
      <c r="A322" t="s">
        <v>134</v>
      </c>
      <c r="B322">
        <v>737</v>
      </c>
      <c r="C322" t="s">
        <v>45</v>
      </c>
      <c r="D322" t="s">
        <v>58</v>
      </c>
      <c r="E322" t="s">
        <v>47</v>
      </c>
      <c r="F322" t="s">
        <v>61</v>
      </c>
      <c r="G322" t="s">
        <v>62</v>
      </c>
      <c r="H322" t="s">
        <v>62</v>
      </c>
      <c r="I322" t="s">
        <v>76</v>
      </c>
      <c r="J322">
        <v>40367936</v>
      </c>
      <c r="K322">
        <v>40564544</v>
      </c>
      <c r="L322">
        <v>40466240</v>
      </c>
      <c r="M322">
        <v>0.50706426863580878</v>
      </c>
    </row>
    <row r="323" spans="1:13" x14ac:dyDescent="0.35">
      <c r="A323" t="s">
        <v>144</v>
      </c>
      <c r="B323">
        <v>729</v>
      </c>
      <c r="C323" t="s">
        <v>45</v>
      </c>
      <c r="D323" t="s">
        <v>46</v>
      </c>
      <c r="E323" t="s">
        <v>50</v>
      </c>
      <c r="F323" t="s">
        <v>51</v>
      </c>
      <c r="G323" t="s">
        <v>52</v>
      </c>
      <c r="H323" t="s">
        <v>52</v>
      </c>
      <c r="I323" t="s">
        <v>41</v>
      </c>
      <c r="J323">
        <v>53831677</v>
      </c>
      <c r="K323">
        <v>54028285</v>
      </c>
      <c r="L323">
        <v>53929981</v>
      </c>
      <c r="M323">
        <v>0.50694946219931991</v>
      </c>
    </row>
    <row r="324" spans="1:13" x14ac:dyDescent="0.35">
      <c r="A324" t="s">
        <v>110</v>
      </c>
      <c r="B324">
        <v>117</v>
      </c>
      <c r="C324" t="s">
        <v>18</v>
      </c>
      <c r="E324" t="s">
        <v>19</v>
      </c>
      <c r="F324" t="s">
        <v>20</v>
      </c>
      <c r="G324" t="s">
        <v>21</v>
      </c>
      <c r="H324" t="s">
        <v>21</v>
      </c>
      <c r="I324" t="s">
        <v>41</v>
      </c>
      <c r="J324">
        <v>75107962</v>
      </c>
      <c r="K324">
        <v>75304570</v>
      </c>
      <c r="L324">
        <v>75206266</v>
      </c>
      <c r="M324">
        <v>0.50168820542420156</v>
      </c>
    </row>
    <row r="325" spans="1:13" x14ac:dyDescent="0.35">
      <c r="A325" t="s">
        <v>73</v>
      </c>
      <c r="B325">
        <v>116</v>
      </c>
      <c r="C325" t="s">
        <v>18</v>
      </c>
      <c r="E325" t="s">
        <v>26</v>
      </c>
      <c r="F325" t="s">
        <v>27</v>
      </c>
      <c r="G325" t="s">
        <v>28</v>
      </c>
      <c r="H325" t="s">
        <v>28</v>
      </c>
      <c r="I325" t="s">
        <v>74</v>
      </c>
      <c r="J325">
        <v>25643839</v>
      </c>
      <c r="K325">
        <v>25840447</v>
      </c>
      <c r="L325">
        <v>25742143</v>
      </c>
      <c r="M325">
        <v>0.50108229294358209</v>
      </c>
    </row>
    <row r="326" spans="1:13" x14ac:dyDescent="0.35">
      <c r="A326" t="s">
        <v>136</v>
      </c>
      <c r="B326">
        <v>741</v>
      </c>
      <c r="C326" t="s">
        <v>45</v>
      </c>
      <c r="D326" t="s">
        <v>46</v>
      </c>
      <c r="E326" t="s">
        <v>47</v>
      </c>
      <c r="F326" t="s">
        <v>48</v>
      </c>
      <c r="G326" t="s">
        <v>49</v>
      </c>
      <c r="H326" t="s">
        <v>49</v>
      </c>
      <c r="I326" t="s">
        <v>43</v>
      </c>
      <c r="J326">
        <v>25701888</v>
      </c>
      <c r="K326">
        <v>25898496</v>
      </c>
      <c r="L326">
        <v>25800192</v>
      </c>
      <c r="M326">
        <v>0.50078330221758072</v>
      </c>
    </row>
    <row r="327" spans="1:13" x14ac:dyDescent="0.35">
      <c r="A327" t="s">
        <v>67</v>
      </c>
      <c r="B327">
        <v>724</v>
      </c>
      <c r="C327" t="s">
        <v>45</v>
      </c>
      <c r="D327" t="s">
        <v>58</v>
      </c>
      <c r="E327" t="s">
        <v>50</v>
      </c>
      <c r="F327" t="s">
        <v>59</v>
      </c>
      <c r="G327" t="s">
        <v>60</v>
      </c>
      <c r="H327" t="s">
        <v>60</v>
      </c>
      <c r="I327" t="s">
        <v>34</v>
      </c>
      <c r="J327">
        <v>169411382</v>
      </c>
      <c r="K327">
        <v>169607990</v>
      </c>
      <c r="L327">
        <v>169509686</v>
      </c>
      <c r="M327">
        <v>0.49860910590431828</v>
      </c>
    </row>
    <row r="328" spans="1:13" x14ac:dyDescent="0.35">
      <c r="A328" t="s">
        <v>25</v>
      </c>
      <c r="B328">
        <v>724</v>
      </c>
      <c r="C328" t="s">
        <v>45</v>
      </c>
      <c r="D328" t="s">
        <v>58</v>
      </c>
      <c r="E328" t="s">
        <v>50</v>
      </c>
      <c r="F328" t="s">
        <v>59</v>
      </c>
      <c r="G328" t="s">
        <v>60</v>
      </c>
      <c r="H328" t="s">
        <v>60</v>
      </c>
      <c r="I328" t="s">
        <v>29</v>
      </c>
      <c r="J328">
        <v>45869035</v>
      </c>
      <c r="K328">
        <v>46065643</v>
      </c>
      <c r="L328">
        <v>45967339</v>
      </c>
      <c r="M328">
        <v>0.49822457421899202</v>
      </c>
    </row>
    <row r="329" spans="1:13" x14ac:dyDescent="0.35">
      <c r="A329" t="s">
        <v>55</v>
      </c>
      <c r="B329">
        <v>737</v>
      </c>
      <c r="C329" t="s">
        <v>45</v>
      </c>
      <c r="D329" t="s">
        <v>58</v>
      </c>
      <c r="E329" t="s">
        <v>47</v>
      </c>
      <c r="F329" t="s">
        <v>61</v>
      </c>
      <c r="G329" t="s">
        <v>62</v>
      </c>
      <c r="H329" t="s">
        <v>62</v>
      </c>
      <c r="I329" t="s">
        <v>56</v>
      </c>
      <c r="J329">
        <v>9551128</v>
      </c>
      <c r="K329">
        <v>9747736</v>
      </c>
      <c r="L329">
        <v>9649432</v>
      </c>
      <c r="M329">
        <v>0.49768522814263438</v>
      </c>
    </row>
    <row r="330" spans="1:13" x14ac:dyDescent="0.35">
      <c r="A330" t="s">
        <v>125</v>
      </c>
      <c r="B330">
        <v>117</v>
      </c>
      <c r="C330" t="s">
        <v>18</v>
      </c>
      <c r="E330" t="s">
        <v>19</v>
      </c>
      <c r="F330" t="s">
        <v>20</v>
      </c>
      <c r="G330" t="s">
        <v>21</v>
      </c>
      <c r="H330" t="s">
        <v>21</v>
      </c>
      <c r="I330" t="s">
        <v>34</v>
      </c>
      <c r="J330">
        <v>219319169</v>
      </c>
      <c r="K330">
        <v>219515777</v>
      </c>
      <c r="L330">
        <v>219417473</v>
      </c>
      <c r="M330">
        <v>0.4948167169284261</v>
      </c>
    </row>
    <row r="331" spans="1:13" x14ac:dyDescent="0.35">
      <c r="A331" t="s">
        <v>70</v>
      </c>
      <c r="B331">
        <v>724</v>
      </c>
      <c r="C331" t="s">
        <v>45</v>
      </c>
      <c r="D331" t="s">
        <v>58</v>
      </c>
      <c r="E331" t="s">
        <v>50</v>
      </c>
      <c r="F331" t="s">
        <v>59</v>
      </c>
      <c r="G331" t="s">
        <v>60</v>
      </c>
      <c r="H331" t="s">
        <v>60</v>
      </c>
      <c r="I331" t="s">
        <v>56</v>
      </c>
      <c r="J331">
        <v>134553331</v>
      </c>
      <c r="K331">
        <v>134749939</v>
      </c>
      <c r="L331">
        <v>134651635</v>
      </c>
      <c r="M331">
        <v>0.49341646099530068</v>
      </c>
    </row>
    <row r="332" spans="1:13" x14ac:dyDescent="0.35">
      <c r="A332" t="s">
        <v>141</v>
      </c>
      <c r="B332">
        <v>737</v>
      </c>
      <c r="C332" t="s">
        <v>45</v>
      </c>
      <c r="D332" t="s">
        <v>58</v>
      </c>
      <c r="E332" t="s">
        <v>47</v>
      </c>
      <c r="F332" t="s">
        <v>61</v>
      </c>
      <c r="G332" t="s">
        <v>62</v>
      </c>
      <c r="H332" t="s">
        <v>62</v>
      </c>
      <c r="I332" t="s">
        <v>101</v>
      </c>
      <c r="J332">
        <v>10559004</v>
      </c>
      <c r="K332">
        <v>10755612</v>
      </c>
      <c r="L332">
        <v>10657308</v>
      </c>
      <c r="M332">
        <v>0.49303576503691832</v>
      </c>
    </row>
    <row r="333" spans="1:13" x14ac:dyDescent="0.35">
      <c r="A333" t="s">
        <v>123</v>
      </c>
      <c r="B333">
        <v>737</v>
      </c>
      <c r="C333" t="s">
        <v>45</v>
      </c>
      <c r="D333" t="s">
        <v>58</v>
      </c>
      <c r="E333" t="s">
        <v>47</v>
      </c>
      <c r="F333" t="s">
        <v>61</v>
      </c>
      <c r="G333" t="s">
        <v>62</v>
      </c>
      <c r="H333" t="s">
        <v>62</v>
      </c>
      <c r="I333" t="s">
        <v>39</v>
      </c>
      <c r="J333">
        <v>67989592</v>
      </c>
      <c r="K333">
        <v>68186200</v>
      </c>
      <c r="L333">
        <v>68087896</v>
      </c>
      <c r="M333">
        <v>0.49296897211339269</v>
      </c>
    </row>
    <row r="334" spans="1:13" x14ac:dyDescent="0.35">
      <c r="A334" t="s">
        <v>145</v>
      </c>
      <c r="B334">
        <v>724</v>
      </c>
      <c r="C334" t="s">
        <v>45</v>
      </c>
      <c r="D334" t="s">
        <v>58</v>
      </c>
      <c r="E334" t="s">
        <v>50</v>
      </c>
      <c r="F334" t="s">
        <v>59</v>
      </c>
      <c r="G334" t="s">
        <v>60</v>
      </c>
      <c r="H334" t="s">
        <v>60</v>
      </c>
      <c r="I334" t="s">
        <v>43</v>
      </c>
      <c r="J334">
        <v>201014146</v>
      </c>
      <c r="K334">
        <v>201210754</v>
      </c>
      <c r="L334">
        <v>201112450</v>
      </c>
      <c r="M334">
        <v>0.48899223286428878</v>
      </c>
    </row>
    <row r="335" spans="1:13" x14ac:dyDescent="0.35">
      <c r="A335" t="s">
        <v>87</v>
      </c>
      <c r="B335">
        <v>724</v>
      </c>
      <c r="C335" t="s">
        <v>45</v>
      </c>
      <c r="D335" t="s">
        <v>58</v>
      </c>
      <c r="E335" t="s">
        <v>50</v>
      </c>
      <c r="F335" t="s">
        <v>59</v>
      </c>
      <c r="G335" t="s">
        <v>60</v>
      </c>
      <c r="H335" t="s">
        <v>60</v>
      </c>
      <c r="I335" t="s">
        <v>88</v>
      </c>
      <c r="J335">
        <v>17621266</v>
      </c>
      <c r="K335">
        <v>17817874</v>
      </c>
      <c r="L335">
        <v>17719570</v>
      </c>
      <c r="M335">
        <v>0.48655573551593939</v>
      </c>
    </row>
    <row r="336" spans="1:13" x14ac:dyDescent="0.35">
      <c r="A336" t="s">
        <v>143</v>
      </c>
      <c r="B336">
        <v>729</v>
      </c>
      <c r="C336" t="s">
        <v>45</v>
      </c>
      <c r="D336" t="s">
        <v>46</v>
      </c>
      <c r="E336" t="s">
        <v>50</v>
      </c>
      <c r="F336" t="s">
        <v>51</v>
      </c>
      <c r="G336" t="s">
        <v>52</v>
      </c>
      <c r="H336" t="s">
        <v>52</v>
      </c>
      <c r="I336" t="s">
        <v>83</v>
      </c>
      <c r="J336">
        <v>26103224</v>
      </c>
      <c r="K336">
        <v>26299832</v>
      </c>
      <c r="L336">
        <v>26201528</v>
      </c>
      <c r="M336">
        <v>0.48588224984141198</v>
      </c>
    </row>
    <row r="337" spans="1:13" x14ac:dyDescent="0.35">
      <c r="A337" t="s">
        <v>125</v>
      </c>
      <c r="B337">
        <v>724</v>
      </c>
      <c r="C337" t="s">
        <v>45</v>
      </c>
      <c r="D337" t="s">
        <v>58</v>
      </c>
      <c r="E337" t="s">
        <v>50</v>
      </c>
      <c r="F337" t="s">
        <v>59</v>
      </c>
      <c r="G337" t="s">
        <v>60</v>
      </c>
      <c r="H337" t="s">
        <v>60</v>
      </c>
      <c r="I337" t="s">
        <v>34</v>
      </c>
      <c r="J337">
        <v>219319169</v>
      </c>
      <c r="K337">
        <v>219515777</v>
      </c>
      <c r="L337">
        <v>219417473</v>
      </c>
      <c r="M337">
        <v>0.4848550656043995</v>
      </c>
    </row>
    <row r="338" spans="1:13" x14ac:dyDescent="0.35">
      <c r="A338" t="s">
        <v>87</v>
      </c>
      <c r="B338">
        <v>737</v>
      </c>
      <c r="C338" t="s">
        <v>45</v>
      </c>
      <c r="D338" t="s">
        <v>58</v>
      </c>
      <c r="E338" t="s">
        <v>47</v>
      </c>
      <c r="F338" t="s">
        <v>61</v>
      </c>
      <c r="G338" t="s">
        <v>62</v>
      </c>
      <c r="H338" t="s">
        <v>62</v>
      </c>
      <c r="I338" t="s">
        <v>88</v>
      </c>
      <c r="J338">
        <v>17621266</v>
      </c>
      <c r="K338">
        <v>17817874</v>
      </c>
      <c r="L338">
        <v>17719570</v>
      </c>
      <c r="M338">
        <v>0.48271261149907541</v>
      </c>
    </row>
    <row r="339" spans="1:13" x14ac:dyDescent="0.35">
      <c r="A339" t="s">
        <v>129</v>
      </c>
      <c r="B339">
        <v>724</v>
      </c>
      <c r="C339" t="s">
        <v>45</v>
      </c>
      <c r="D339" t="s">
        <v>58</v>
      </c>
      <c r="E339" t="s">
        <v>50</v>
      </c>
      <c r="F339" t="s">
        <v>59</v>
      </c>
      <c r="G339" t="s">
        <v>60</v>
      </c>
      <c r="H339" t="s">
        <v>60</v>
      </c>
      <c r="I339" t="s">
        <v>56</v>
      </c>
      <c r="J339">
        <v>69024727</v>
      </c>
      <c r="K339">
        <v>69221335</v>
      </c>
      <c r="L339">
        <v>69123031</v>
      </c>
      <c r="M339">
        <v>0.48255468956823871</v>
      </c>
    </row>
    <row r="340" spans="1:13" x14ac:dyDescent="0.35">
      <c r="A340" t="s">
        <v>127</v>
      </c>
      <c r="B340">
        <v>737</v>
      </c>
      <c r="C340" t="s">
        <v>45</v>
      </c>
      <c r="D340" t="s">
        <v>58</v>
      </c>
      <c r="E340" t="s">
        <v>47</v>
      </c>
      <c r="F340" t="s">
        <v>61</v>
      </c>
      <c r="G340" t="s">
        <v>62</v>
      </c>
      <c r="H340" t="s">
        <v>62</v>
      </c>
      <c r="I340" t="s">
        <v>43</v>
      </c>
      <c r="J340">
        <v>18532541</v>
      </c>
      <c r="K340">
        <v>18729149</v>
      </c>
      <c r="L340">
        <v>18630845</v>
      </c>
      <c r="M340">
        <v>0.48083902665800832</v>
      </c>
    </row>
    <row r="341" spans="1:13" x14ac:dyDescent="0.35">
      <c r="A341" t="s">
        <v>121</v>
      </c>
      <c r="B341">
        <v>117</v>
      </c>
      <c r="C341" t="s">
        <v>18</v>
      </c>
      <c r="E341" t="s">
        <v>19</v>
      </c>
      <c r="F341" t="s">
        <v>20</v>
      </c>
      <c r="G341" t="s">
        <v>21</v>
      </c>
      <c r="H341" t="s">
        <v>21</v>
      </c>
      <c r="I341" t="s">
        <v>39</v>
      </c>
      <c r="J341">
        <v>17519125</v>
      </c>
      <c r="K341">
        <v>17715733</v>
      </c>
      <c r="L341">
        <v>17617429</v>
      </c>
      <c r="M341">
        <v>0.48060941265562063</v>
      </c>
    </row>
    <row r="342" spans="1:13" x14ac:dyDescent="0.35">
      <c r="A342" t="s">
        <v>140</v>
      </c>
      <c r="B342">
        <v>737</v>
      </c>
      <c r="C342" t="s">
        <v>45</v>
      </c>
      <c r="D342" t="s">
        <v>58</v>
      </c>
      <c r="E342" t="s">
        <v>47</v>
      </c>
      <c r="F342" t="s">
        <v>61</v>
      </c>
      <c r="G342" t="s">
        <v>62</v>
      </c>
      <c r="H342" t="s">
        <v>62</v>
      </c>
      <c r="I342" t="s">
        <v>101</v>
      </c>
      <c r="J342">
        <v>35048190</v>
      </c>
      <c r="K342">
        <v>35244798</v>
      </c>
      <c r="L342">
        <v>35146494</v>
      </c>
      <c r="M342">
        <v>0.47918869381770929</v>
      </c>
    </row>
    <row r="343" spans="1:13" x14ac:dyDescent="0.35">
      <c r="A343" t="s">
        <v>138</v>
      </c>
      <c r="B343">
        <v>729</v>
      </c>
      <c r="C343" t="s">
        <v>45</v>
      </c>
      <c r="D343" t="s">
        <v>46</v>
      </c>
      <c r="E343" t="s">
        <v>50</v>
      </c>
      <c r="F343" t="s">
        <v>51</v>
      </c>
      <c r="G343" t="s">
        <v>52</v>
      </c>
      <c r="H343" t="s">
        <v>52</v>
      </c>
      <c r="I343" t="s">
        <v>39</v>
      </c>
      <c r="J343">
        <v>29638818</v>
      </c>
      <c r="K343">
        <v>29835426</v>
      </c>
      <c r="L343">
        <v>29737122</v>
      </c>
      <c r="M343">
        <v>0.47915182260489031</v>
      </c>
    </row>
    <row r="344" spans="1:13" x14ac:dyDescent="0.35">
      <c r="A344" t="s">
        <v>63</v>
      </c>
      <c r="B344">
        <v>116</v>
      </c>
      <c r="C344" t="s">
        <v>18</v>
      </c>
      <c r="E344" t="s">
        <v>26</v>
      </c>
      <c r="F344" t="s">
        <v>27</v>
      </c>
      <c r="G344" t="s">
        <v>28</v>
      </c>
      <c r="H344" t="s">
        <v>28</v>
      </c>
      <c r="I344" t="s">
        <v>64</v>
      </c>
      <c r="J344">
        <v>45735440</v>
      </c>
      <c r="K344">
        <v>45932048</v>
      </c>
      <c r="L344">
        <v>45833744</v>
      </c>
      <c r="M344">
        <v>0.47736087395609239</v>
      </c>
    </row>
    <row r="345" spans="1:13" x14ac:dyDescent="0.35">
      <c r="A345" t="s">
        <v>146</v>
      </c>
      <c r="B345">
        <v>737</v>
      </c>
      <c r="C345" t="s">
        <v>45</v>
      </c>
      <c r="D345" t="s">
        <v>58</v>
      </c>
      <c r="E345" t="s">
        <v>47</v>
      </c>
      <c r="F345" t="s">
        <v>61</v>
      </c>
      <c r="G345" t="s">
        <v>62</v>
      </c>
      <c r="H345" t="s">
        <v>62</v>
      </c>
      <c r="I345" t="s">
        <v>64</v>
      </c>
      <c r="J345">
        <v>62717939</v>
      </c>
      <c r="K345">
        <v>62914547</v>
      </c>
      <c r="L345">
        <v>62816243</v>
      </c>
      <c r="M345">
        <v>0.47646223023918349</v>
      </c>
    </row>
    <row r="346" spans="1:13" x14ac:dyDescent="0.35">
      <c r="A346" t="s">
        <v>75</v>
      </c>
      <c r="B346">
        <v>737</v>
      </c>
      <c r="C346" t="s">
        <v>45</v>
      </c>
      <c r="D346" t="s">
        <v>58</v>
      </c>
      <c r="E346" t="s">
        <v>47</v>
      </c>
      <c r="F346" t="s">
        <v>61</v>
      </c>
      <c r="G346" t="s">
        <v>62</v>
      </c>
      <c r="H346" t="s">
        <v>62</v>
      </c>
      <c r="I346" t="s">
        <v>76</v>
      </c>
      <c r="J346">
        <v>45684247</v>
      </c>
      <c r="K346">
        <v>45880855</v>
      </c>
      <c r="L346">
        <v>45782551</v>
      </c>
      <c r="M346">
        <v>0.4756000878531555</v>
      </c>
    </row>
    <row r="347" spans="1:13" x14ac:dyDescent="0.35">
      <c r="A347" t="s">
        <v>134</v>
      </c>
      <c r="B347">
        <v>724</v>
      </c>
      <c r="C347" t="s">
        <v>45</v>
      </c>
      <c r="D347" t="s">
        <v>58</v>
      </c>
      <c r="E347" t="s">
        <v>50</v>
      </c>
      <c r="F347" t="s">
        <v>59</v>
      </c>
      <c r="G347" t="s">
        <v>60</v>
      </c>
      <c r="H347" t="s">
        <v>60</v>
      </c>
      <c r="I347" t="s">
        <v>76</v>
      </c>
      <c r="J347">
        <v>40367936</v>
      </c>
      <c r="K347">
        <v>40564544</v>
      </c>
      <c r="L347">
        <v>40466240</v>
      </c>
      <c r="M347">
        <v>0.4753341965417166</v>
      </c>
    </row>
    <row r="348" spans="1:13" x14ac:dyDescent="0.35">
      <c r="A348" t="s">
        <v>118</v>
      </c>
      <c r="B348">
        <v>724</v>
      </c>
      <c r="C348" t="s">
        <v>45</v>
      </c>
      <c r="D348" t="s">
        <v>58</v>
      </c>
      <c r="E348" t="s">
        <v>50</v>
      </c>
      <c r="F348" t="s">
        <v>59</v>
      </c>
      <c r="G348" t="s">
        <v>60</v>
      </c>
      <c r="H348" t="s">
        <v>60</v>
      </c>
      <c r="I348" t="s">
        <v>76</v>
      </c>
      <c r="J348">
        <v>18963392</v>
      </c>
      <c r="K348">
        <v>19160000</v>
      </c>
      <c r="L348">
        <v>19061696</v>
      </c>
      <c r="M348">
        <v>0.47518163602978181</v>
      </c>
    </row>
    <row r="349" spans="1:13" x14ac:dyDescent="0.35">
      <c r="A349" t="s">
        <v>127</v>
      </c>
      <c r="B349">
        <v>729</v>
      </c>
      <c r="C349" t="s">
        <v>45</v>
      </c>
      <c r="D349" t="s">
        <v>46</v>
      </c>
      <c r="E349" t="s">
        <v>50</v>
      </c>
      <c r="F349" t="s">
        <v>51</v>
      </c>
      <c r="G349" t="s">
        <v>52</v>
      </c>
      <c r="H349" t="s">
        <v>52</v>
      </c>
      <c r="I349" t="s">
        <v>43</v>
      </c>
      <c r="J349">
        <v>18532541</v>
      </c>
      <c r="K349">
        <v>18729149</v>
      </c>
      <c r="L349">
        <v>18630845</v>
      </c>
      <c r="M349">
        <v>0.47424449678964481</v>
      </c>
    </row>
    <row r="350" spans="1:13" x14ac:dyDescent="0.35">
      <c r="A350" t="s">
        <v>147</v>
      </c>
      <c r="B350">
        <v>724</v>
      </c>
      <c r="C350" t="s">
        <v>45</v>
      </c>
      <c r="D350" t="s">
        <v>58</v>
      </c>
      <c r="E350" t="s">
        <v>50</v>
      </c>
      <c r="F350" t="s">
        <v>59</v>
      </c>
      <c r="G350" t="s">
        <v>60</v>
      </c>
      <c r="H350" t="s">
        <v>60</v>
      </c>
      <c r="I350" t="s">
        <v>34</v>
      </c>
      <c r="J350">
        <v>232390740</v>
      </c>
      <c r="K350">
        <v>232587348</v>
      </c>
      <c r="L350">
        <v>232489044</v>
      </c>
      <c r="M350">
        <v>0.46924751370182638</v>
      </c>
    </row>
    <row r="351" spans="1:13" x14ac:dyDescent="0.35">
      <c r="A351" t="s">
        <v>100</v>
      </c>
      <c r="B351">
        <v>724</v>
      </c>
      <c r="C351" t="s">
        <v>45</v>
      </c>
      <c r="D351" t="s">
        <v>58</v>
      </c>
      <c r="E351" t="s">
        <v>50</v>
      </c>
      <c r="F351" t="s">
        <v>59</v>
      </c>
      <c r="G351" t="s">
        <v>60</v>
      </c>
      <c r="H351" t="s">
        <v>60</v>
      </c>
      <c r="I351" t="s">
        <v>101</v>
      </c>
      <c r="J351">
        <v>10451395</v>
      </c>
      <c r="K351">
        <v>10648003</v>
      </c>
      <c r="L351">
        <v>10549699</v>
      </c>
      <c r="M351">
        <v>0.46512319163796639</v>
      </c>
    </row>
    <row r="352" spans="1:13" x14ac:dyDescent="0.35">
      <c r="A352" t="s">
        <v>71</v>
      </c>
      <c r="B352">
        <v>737</v>
      </c>
      <c r="C352" t="s">
        <v>45</v>
      </c>
      <c r="D352" t="s">
        <v>58</v>
      </c>
      <c r="E352" t="s">
        <v>47</v>
      </c>
      <c r="F352" t="s">
        <v>61</v>
      </c>
      <c r="G352" t="s">
        <v>62</v>
      </c>
      <c r="H352" t="s">
        <v>62</v>
      </c>
      <c r="I352" t="s">
        <v>72</v>
      </c>
      <c r="J352">
        <v>1885888</v>
      </c>
      <c r="K352">
        <v>2082496</v>
      </c>
      <c r="L352">
        <v>1984192</v>
      </c>
      <c r="M352">
        <v>0.46392147987586341</v>
      </c>
    </row>
    <row r="353" spans="1:13" x14ac:dyDescent="0.35">
      <c r="A353" t="s">
        <v>103</v>
      </c>
      <c r="B353">
        <v>724</v>
      </c>
      <c r="C353" t="s">
        <v>45</v>
      </c>
      <c r="D353" t="s">
        <v>58</v>
      </c>
      <c r="E353" t="s">
        <v>50</v>
      </c>
      <c r="F353" t="s">
        <v>59</v>
      </c>
      <c r="G353" t="s">
        <v>60</v>
      </c>
      <c r="H353" t="s">
        <v>60</v>
      </c>
      <c r="I353" t="s">
        <v>104</v>
      </c>
      <c r="J353">
        <v>35591751</v>
      </c>
      <c r="K353">
        <v>35788359</v>
      </c>
      <c r="L353">
        <v>35690055</v>
      </c>
      <c r="M353">
        <v>0.46221416182213138</v>
      </c>
    </row>
    <row r="354" spans="1:13" x14ac:dyDescent="0.35">
      <c r="A354" t="s">
        <v>132</v>
      </c>
      <c r="B354">
        <v>729</v>
      </c>
      <c r="C354" t="s">
        <v>45</v>
      </c>
      <c r="D354" t="s">
        <v>46</v>
      </c>
      <c r="E354" t="s">
        <v>50</v>
      </c>
      <c r="F354" t="s">
        <v>51</v>
      </c>
      <c r="G354" t="s">
        <v>52</v>
      </c>
      <c r="H354" t="s">
        <v>52</v>
      </c>
      <c r="I354" t="s">
        <v>31</v>
      </c>
      <c r="J354">
        <v>151298210</v>
      </c>
      <c r="K354">
        <v>151494818</v>
      </c>
      <c r="L354">
        <v>151396514</v>
      </c>
      <c r="M354">
        <v>0.45787653807177769</v>
      </c>
    </row>
    <row r="355" spans="1:13" x14ac:dyDescent="0.35">
      <c r="A355" t="s">
        <v>89</v>
      </c>
      <c r="B355">
        <v>741</v>
      </c>
      <c r="C355" t="s">
        <v>45</v>
      </c>
      <c r="D355" t="s">
        <v>46</v>
      </c>
      <c r="E355" t="s">
        <v>47</v>
      </c>
      <c r="F355" t="s">
        <v>48</v>
      </c>
      <c r="G355" t="s">
        <v>49</v>
      </c>
      <c r="H355" t="s">
        <v>49</v>
      </c>
      <c r="I355" t="s">
        <v>43</v>
      </c>
      <c r="J355">
        <v>155984267</v>
      </c>
      <c r="K355">
        <v>156180875</v>
      </c>
      <c r="L355">
        <v>156082571</v>
      </c>
      <c r="M355">
        <v>0.45572107737975109</v>
      </c>
    </row>
    <row r="356" spans="1:13" x14ac:dyDescent="0.35">
      <c r="A356" t="s">
        <v>128</v>
      </c>
      <c r="B356">
        <v>724</v>
      </c>
      <c r="C356" t="s">
        <v>45</v>
      </c>
      <c r="D356" t="s">
        <v>58</v>
      </c>
      <c r="E356" t="s">
        <v>50</v>
      </c>
      <c r="F356" t="s">
        <v>59</v>
      </c>
      <c r="G356" t="s">
        <v>60</v>
      </c>
      <c r="H356" t="s">
        <v>60</v>
      </c>
      <c r="I356" t="s">
        <v>34</v>
      </c>
      <c r="J356">
        <v>172977017</v>
      </c>
      <c r="K356">
        <v>173173625</v>
      </c>
      <c r="L356">
        <v>173075321</v>
      </c>
      <c r="M356">
        <v>0.45566921216871908</v>
      </c>
    </row>
    <row r="357" spans="1:13" x14ac:dyDescent="0.35">
      <c r="A357" t="s">
        <v>148</v>
      </c>
      <c r="B357">
        <v>724</v>
      </c>
      <c r="C357" t="s">
        <v>45</v>
      </c>
      <c r="D357" t="s">
        <v>58</v>
      </c>
      <c r="E357" t="s">
        <v>50</v>
      </c>
      <c r="F357" t="s">
        <v>59</v>
      </c>
      <c r="G357" t="s">
        <v>60</v>
      </c>
      <c r="H357" t="s">
        <v>60</v>
      </c>
      <c r="I357" t="s">
        <v>34</v>
      </c>
      <c r="J357">
        <v>178732497</v>
      </c>
      <c r="K357">
        <v>178929105</v>
      </c>
      <c r="L357">
        <v>178830801</v>
      </c>
      <c r="M357">
        <v>0.45523373078749951</v>
      </c>
    </row>
    <row r="358" spans="1:13" x14ac:dyDescent="0.35">
      <c r="A358" t="s">
        <v>139</v>
      </c>
      <c r="B358">
        <v>741</v>
      </c>
      <c r="C358" t="s">
        <v>45</v>
      </c>
      <c r="D358" t="s">
        <v>46</v>
      </c>
      <c r="E358" t="s">
        <v>47</v>
      </c>
      <c r="F358" t="s">
        <v>48</v>
      </c>
      <c r="G358" t="s">
        <v>49</v>
      </c>
      <c r="H358" t="s">
        <v>49</v>
      </c>
      <c r="I358" t="s">
        <v>101</v>
      </c>
      <c r="J358">
        <v>63874613</v>
      </c>
      <c r="K358">
        <v>64071221</v>
      </c>
      <c r="L358">
        <v>63972917</v>
      </c>
      <c r="M358">
        <v>0.45432008249384409</v>
      </c>
    </row>
    <row r="359" spans="1:13" x14ac:dyDescent="0.35">
      <c r="A359" t="s">
        <v>65</v>
      </c>
      <c r="B359">
        <v>741</v>
      </c>
      <c r="C359" t="s">
        <v>45</v>
      </c>
      <c r="D359" t="s">
        <v>46</v>
      </c>
      <c r="E359" t="s">
        <v>47</v>
      </c>
      <c r="F359" t="s">
        <v>48</v>
      </c>
      <c r="G359" t="s">
        <v>49</v>
      </c>
      <c r="H359" t="s">
        <v>49</v>
      </c>
      <c r="I359" t="s">
        <v>24</v>
      </c>
      <c r="J359">
        <v>40594126</v>
      </c>
      <c r="K359">
        <v>40790734</v>
      </c>
      <c r="L359">
        <v>40692430</v>
      </c>
      <c r="M359">
        <v>0.45061275798278361</v>
      </c>
    </row>
    <row r="360" spans="1:13" x14ac:dyDescent="0.35">
      <c r="A360" t="s">
        <v>129</v>
      </c>
      <c r="B360">
        <v>737</v>
      </c>
      <c r="C360" t="s">
        <v>45</v>
      </c>
      <c r="D360" t="s">
        <v>58</v>
      </c>
      <c r="E360" t="s">
        <v>47</v>
      </c>
      <c r="F360" t="s">
        <v>61</v>
      </c>
      <c r="G360" t="s">
        <v>62</v>
      </c>
      <c r="H360" t="s">
        <v>62</v>
      </c>
      <c r="I360" t="s">
        <v>56</v>
      </c>
      <c r="J360">
        <v>69024727</v>
      </c>
      <c r="K360">
        <v>69221335</v>
      </c>
      <c r="L360">
        <v>69123031</v>
      </c>
      <c r="M360">
        <v>0.45001955304165597</v>
      </c>
    </row>
    <row r="361" spans="1:13" x14ac:dyDescent="0.35">
      <c r="A361" t="s">
        <v>63</v>
      </c>
      <c r="B361">
        <v>117</v>
      </c>
      <c r="C361" t="s">
        <v>18</v>
      </c>
      <c r="E361" t="s">
        <v>19</v>
      </c>
      <c r="F361" t="s">
        <v>20</v>
      </c>
      <c r="G361" t="s">
        <v>21</v>
      </c>
      <c r="H361" t="s">
        <v>21</v>
      </c>
      <c r="I361" t="s">
        <v>64</v>
      </c>
      <c r="J361">
        <v>45735440</v>
      </c>
      <c r="K361">
        <v>45932048</v>
      </c>
      <c r="L361">
        <v>45833744</v>
      </c>
      <c r="M361">
        <v>0.44981318469587611</v>
      </c>
    </row>
    <row r="362" spans="1:13" x14ac:dyDescent="0.35">
      <c r="A362" t="s">
        <v>84</v>
      </c>
      <c r="B362">
        <v>117</v>
      </c>
      <c r="C362" t="s">
        <v>18</v>
      </c>
      <c r="E362" t="s">
        <v>19</v>
      </c>
      <c r="F362" t="s">
        <v>20</v>
      </c>
      <c r="G362" t="s">
        <v>21</v>
      </c>
      <c r="H362" t="s">
        <v>21</v>
      </c>
      <c r="I362" t="s">
        <v>83</v>
      </c>
      <c r="J362">
        <v>157237076</v>
      </c>
      <c r="K362">
        <v>157433684</v>
      </c>
      <c r="L362">
        <v>157335380</v>
      </c>
      <c r="M362">
        <v>0.44958164679832041</v>
      </c>
    </row>
    <row r="363" spans="1:13" x14ac:dyDescent="0.35">
      <c r="A363" t="s">
        <v>135</v>
      </c>
      <c r="B363">
        <v>117</v>
      </c>
      <c r="C363" t="s">
        <v>18</v>
      </c>
      <c r="E363" t="s">
        <v>19</v>
      </c>
      <c r="F363" t="s">
        <v>20</v>
      </c>
      <c r="G363" t="s">
        <v>21</v>
      </c>
      <c r="H363" t="s">
        <v>21</v>
      </c>
      <c r="I363" t="s">
        <v>41</v>
      </c>
      <c r="J363">
        <v>123538955</v>
      </c>
      <c r="K363">
        <v>123735563</v>
      </c>
      <c r="L363">
        <v>123637259</v>
      </c>
      <c r="M363">
        <v>0.44920716037663938</v>
      </c>
    </row>
    <row r="364" spans="1:13" x14ac:dyDescent="0.35">
      <c r="A364" t="s">
        <v>149</v>
      </c>
      <c r="B364">
        <v>737</v>
      </c>
      <c r="C364" t="s">
        <v>45</v>
      </c>
      <c r="D364" t="s">
        <v>58</v>
      </c>
      <c r="E364" t="s">
        <v>47</v>
      </c>
      <c r="F364" t="s">
        <v>61</v>
      </c>
      <c r="G364" t="s">
        <v>62</v>
      </c>
      <c r="H364" t="s">
        <v>62</v>
      </c>
      <c r="I364" t="s">
        <v>43</v>
      </c>
      <c r="J364">
        <v>160092080</v>
      </c>
      <c r="K364">
        <v>160288688</v>
      </c>
      <c r="L364">
        <v>160190384</v>
      </c>
      <c r="M364">
        <v>0.4480691138669835</v>
      </c>
    </row>
    <row r="365" spans="1:13" x14ac:dyDescent="0.35">
      <c r="A365" t="s">
        <v>120</v>
      </c>
      <c r="B365">
        <v>724</v>
      </c>
      <c r="C365" t="s">
        <v>45</v>
      </c>
      <c r="D365" t="s">
        <v>58</v>
      </c>
      <c r="E365" t="s">
        <v>50</v>
      </c>
      <c r="F365" t="s">
        <v>59</v>
      </c>
      <c r="G365" t="s">
        <v>60</v>
      </c>
      <c r="H365" t="s">
        <v>60</v>
      </c>
      <c r="I365" t="s">
        <v>88</v>
      </c>
      <c r="J365">
        <v>1740676</v>
      </c>
      <c r="K365">
        <v>1937284</v>
      </c>
      <c r="L365">
        <v>1838980</v>
      </c>
      <c r="M365">
        <v>0.44532066782390872</v>
      </c>
    </row>
    <row r="366" spans="1:13" x14ac:dyDescent="0.35">
      <c r="A366" t="s">
        <v>145</v>
      </c>
      <c r="B366">
        <v>737</v>
      </c>
      <c r="C366" t="s">
        <v>45</v>
      </c>
      <c r="D366" t="s">
        <v>58</v>
      </c>
      <c r="E366" t="s">
        <v>47</v>
      </c>
      <c r="F366" t="s">
        <v>61</v>
      </c>
      <c r="G366" t="s">
        <v>62</v>
      </c>
      <c r="H366" t="s">
        <v>62</v>
      </c>
      <c r="I366" t="s">
        <v>43</v>
      </c>
      <c r="J366">
        <v>201014146</v>
      </c>
      <c r="K366">
        <v>201210754</v>
      </c>
      <c r="L366">
        <v>201112450</v>
      </c>
      <c r="M366">
        <v>0.44329009627149352</v>
      </c>
    </row>
    <row r="367" spans="1:13" x14ac:dyDescent="0.35">
      <c r="A367" t="s">
        <v>141</v>
      </c>
      <c r="B367">
        <v>117</v>
      </c>
      <c r="C367" t="s">
        <v>18</v>
      </c>
      <c r="E367" t="s">
        <v>19</v>
      </c>
      <c r="F367" t="s">
        <v>20</v>
      </c>
      <c r="G367" t="s">
        <v>21</v>
      </c>
      <c r="H367" t="s">
        <v>21</v>
      </c>
      <c r="I367" t="s">
        <v>101</v>
      </c>
      <c r="J367">
        <v>10559004</v>
      </c>
      <c r="K367">
        <v>10755612</v>
      </c>
      <c r="L367">
        <v>10657308</v>
      </c>
      <c r="M367">
        <v>0.43579932660208831</v>
      </c>
    </row>
    <row r="368" spans="1:13" x14ac:dyDescent="0.35">
      <c r="A368" t="s">
        <v>140</v>
      </c>
      <c r="B368">
        <v>741</v>
      </c>
      <c r="C368" t="s">
        <v>45</v>
      </c>
      <c r="D368" t="s">
        <v>46</v>
      </c>
      <c r="E368" t="s">
        <v>47</v>
      </c>
      <c r="F368" t="s">
        <v>48</v>
      </c>
      <c r="G368" t="s">
        <v>49</v>
      </c>
      <c r="H368" t="s">
        <v>49</v>
      </c>
      <c r="I368" t="s">
        <v>101</v>
      </c>
      <c r="J368">
        <v>35048190</v>
      </c>
      <c r="K368">
        <v>35244798</v>
      </c>
      <c r="L368">
        <v>35146494</v>
      </c>
      <c r="M368">
        <v>0.43362984678485827</v>
      </c>
    </row>
    <row r="369" spans="1:13" x14ac:dyDescent="0.35">
      <c r="A369" t="s">
        <v>75</v>
      </c>
      <c r="B369">
        <v>724</v>
      </c>
      <c r="C369" t="s">
        <v>45</v>
      </c>
      <c r="D369" t="s">
        <v>58</v>
      </c>
      <c r="E369" t="s">
        <v>50</v>
      </c>
      <c r="F369" t="s">
        <v>59</v>
      </c>
      <c r="G369" t="s">
        <v>60</v>
      </c>
      <c r="H369" t="s">
        <v>60</v>
      </c>
      <c r="I369" t="s">
        <v>76</v>
      </c>
      <c r="J369">
        <v>45684247</v>
      </c>
      <c r="K369">
        <v>45880855</v>
      </c>
      <c r="L369">
        <v>45782551</v>
      </c>
      <c r="M369">
        <v>0.43058359888813452</v>
      </c>
    </row>
    <row r="370" spans="1:13" x14ac:dyDescent="0.35">
      <c r="A370" t="s">
        <v>90</v>
      </c>
      <c r="B370">
        <v>116</v>
      </c>
      <c r="C370" t="s">
        <v>18</v>
      </c>
      <c r="E370" t="s">
        <v>26</v>
      </c>
      <c r="F370" t="s">
        <v>27</v>
      </c>
      <c r="G370" t="s">
        <v>28</v>
      </c>
      <c r="H370" t="s">
        <v>28</v>
      </c>
      <c r="I370" t="s">
        <v>91</v>
      </c>
      <c r="J370">
        <v>45883450</v>
      </c>
      <c r="K370">
        <v>46080058</v>
      </c>
      <c r="L370">
        <v>45981754</v>
      </c>
      <c r="M370">
        <v>0.430478762784758</v>
      </c>
    </row>
    <row r="371" spans="1:13" x14ac:dyDescent="0.35">
      <c r="A371" t="s">
        <v>125</v>
      </c>
      <c r="B371">
        <v>116</v>
      </c>
      <c r="C371" t="s">
        <v>18</v>
      </c>
      <c r="E371" t="s">
        <v>26</v>
      </c>
      <c r="F371" t="s">
        <v>27</v>
      </c>
      <c r="G371" t="s">
        <v>28</v>
      </c>
      <c r="H371" t="s">
        <v>28</v>
      </c>
      <c r="I371" t="s">
        <v>34</v>
      </c>
      <c r="J371">
        <v>219319169</v>
      </c>
      <c r="K371">
        <v>219515777</v>
      </c>
      <c r="L371">
        <v>219417473</v>
      </c>
      <c r="M371">
        <v>0.42892505015008298</v>
      </c>
    </row>
    <row r="372" spans="1:13" x14ac:dyDescent="0.35">
      <c r="A372" t="s">
        <v>150</v>
      </c>
      <c r="B372">
        <v>737</v>
      </c>
      <c r="C372" t="s">
        <v>45</v>
      </c>
      <c r="D372" t="s">
        <v>58</v>
      </c>
      <c r="E372" t="s">
        <v>47</v>
      </c>
      <c r="F372" t="s">
        <v>61</v>
      </c>
      <c r="G372" t="s">
        <v>62</v>
      </c>
      <c r="H372" t="s">
        <v>62</v>
      </c>
      <c r="I372" t="s">
        <v>88</v>
      </c>
      <c r="J372">
        <v>3756222</v>
      </c>
      <c r="K372">
        <v>3952830</v>
      </c>
      <c r="L372">
        <v>3854526</v>
      </c>
      <c r="M372">
        <v>0.42842912312019771</v>
      </c>
    </row>
    <row r="373" spans="1:13" x14ac:dyDescent="0.35">
      <c r="A373" t="s">
        <v>100</v>
      </c>
      <c r="B373">
        <v>737</v>
      </c>
      <c r="C373" t="s">
        <v>45</v>
      </c>
      <c r="D373" t="s">
        <v>58</v>
      </c>
      <c r="E373" t="s">
        <v>47</v>
      </c>
      <c r="F373" t="s">
        <v>61</v>
      </c>
      <c r="G373" t="s">
        <v>62</v>
      </c>
      <c r="H373" t="s">
        <v>62</v>
      </c>
      <c r="I373" t="s">
        <v>101</v>
      </c>
      <c r="J373">
        <v>10451395</v>
      </c>
      <c r="K373">
        <v>10648003</v>
      </c>
      <c r="L373">
        <v>10549699</v>
      </c>
      <c r="M373">
        <v>0.42571824612622128</v>
      </c>
    </row>
    <row r="374" spans="1:13" x14ac:dyDescent="0.35">
      <c r="A374" t="s">
        <v>128</v>
      </c>
      <c r="B374">
        <v>741</v>
      </c>
      <c r="C374" t="s">
        <v>45</v>
      </c>
      <c r="D374" t="s">
        <v>46</v>
      </c>
      <c r="E374" t="s">
        <v>47</v>
      </c>
      <c r="F374" t="s">
        <v>48</v>
      </c>
      <c r="G374" t="s">
        <v>49</v>
      </c>
      <c r="H374" t="s">
        <v>49</v>
      </c>
      <c r="I374" t="s">
        <v>34</v>
      </c>
      <c r="J374">
        <v>172977017</v>
      </c>
      <c r="K374">
        <v>173173625</v>
      </c>
      <c r="L374">
        <v>173075321</v>
      </c>
      <c r="M374">
        <v>0.42544149033965112</v>
      </c>
    </row>
    <row r="375" spans="1:13" x14ac:dyDescent="0.35">
      <c r="A375" t="s">
        <v>117</v>
      </c>
      <c r="B375">
        <v>724</v>
      </c>
      <c r="C375" t="s">
        <v>45</v>
      </c>
      <c r="D375" t="s">
        <v>58</v>
      </c>
      <c r="E375" t="s">
        <v>50</v>
      </c>
      <c r="F375" t="s">
        <v>59</v>
      </c>
      <c r="G375" t="s">
        <v>60</v>
      </c>
      <c r="H375" t="s">
        <v>60</v>
      </c>
      <c r="I375" t="s">
        <v>39</v>
      </c>
      <c r="J375">
        <v>119552574</v>
      </c>
      <c r="K375">
        <v>119749182</v>
      </c>
      <c r="L375">
        <v>119650878</v>
      </c>
      <c r="M375">
        <v>0.42503191269722779</v>
      </c>
    </row>
    <row r="376" spans="1:13" x14ac:dyDescent="0.35">
      <c r="A376" t="s">
        <v>107</v>
      </c>
      <c r="B376">
        <v>729</v>
      </c>
      <c r="C376" t="s">
        <v>45</v>
      </c>
      <c r="D376" t="s">
        <v>46</v>
      </c>
      <c r="E376" t="s">
        <v>50</v>
      </c>
      <c r="F376" t="s">
        <v>51</v>
      </c>
      <c r="G376" t="s">
        <v>52</v>
      </c>
      <c r="H376" t="s">
        <v>52</v>
      </c>
      <c r="I376" t="s">
        <v>56</v>
      </c>
      <c r="J376">
        <v>42587142</v>
      </c>
      <c r="K376">
        <v>42783750</v>
      </c>
      <c r="L376">
        <v>42685446</v>
      </c>
      <c r="M376">
        <v>0.42329221287806501</v>
      </c>
    </row>
    <row r="377" spans="1:13" x14ac:dyDescent="0.35">
      <c r="A377" t="s">
        <v>150</v>
      </c>
      <c r="B377">
        <v>741</v>
      </c>
      <c r="C377" t="s">
        <v>45</v>
      </c>
      <c r="D377" t="s">
        <v>46</v>
      </c>
      <c r="E377" t="s">
        <v>47</v>
      </c>
      <c r="F377" t="s">
        <v>48</v>
      </c>
      <c r="G377" t="s">
        <v>49</v>
      </c>
      <c r="H377" t="s">
        <v>49</v>
      </c>
      <c r="I377" t="s">
        <v>88</v>
      </c>
      <c r="J377">
        <v>3756222</v>
      </c>
      <c r="K377">
        <v>3952830</v>
      </c>
      <c r="L377">
        <v>3854526</v>
      </c>
      <c r="M377">
        <v>0.42227747598856918</v>
      </c>
    </row>
    <row r="378" spans="1:13" x14ac:dyDescent="0.35">
      <c r="A378" t="s">
        <v>116</v>
      </c>
      <c r="B378">
        <v>724</v>
      </c>
      <c r="C378" t="s">
        <v>45</v>
      </c>
      <c r="D378" t="s">
        <v>58</v>
      </c>
      <c r="E378" t="s">
        <v>50</v>
      </c>
      <c r="F378" t="s">
        <v>59</v>
      </c>
      <c r="G378" t="s">
        <v>60</v>
      </c>
      <c r="H378" t="s">
        <v>60</v>
      </c>
      <c r="I378" t="s">
        <v>76</v>
      </c>
      <c r="J378">
        <v>38335386</v>
      </c>
      <c r="K378">
        <v>38531994</v>
      </c>
      <c r="L378">
        <v>38433690</v>
      </c>
      <c r="M378">
        <v>0.4212319689898712</v>
      </c>
    </row>
    <row r="379" spans="1:13" x14ac:dyDescent="0.35">
      <c r="A379" t="s">
        <v>114</v>
      </c>
      <c r="B379">
        <v>741</v>
      </c>
      <c r="C379" t="s">
        <v>45</v>
      </c>
      <c r="D379" t="s">
        <v>46</v>
      </c>
      <c r="E379" t="s">
        <v>47</v>
      </c>
      <c r="F379" t="s">
        <v>48</v>
      </c>
      <c r="G379" t="s">
        <v>49</v>
      </c>
      <c r="H379" t="s">
        <v>49</v>
      </c>
      <c r="I379" t="s">
        <v>34</v>
      </c>
      <c r="J379">
        <v>219336538</v>
      </c>
      <c r="K379">
        <v>219533146</v>
      </c>
      <c r="L379">
        <v>219434842</v>
      </c>
      <c r="M379">
        <v>0.42075154968783052</v>
      </c>
    </row>
    <row r="380" spans="1:13" x14ac:dyDescent="0.35">
      <c r="A380" t="s">
        <v>80</v>
      </c>
      <c r="B380">
        <v>116</v>
      </c>
      <c r="C380" t="s">
        <v>18</v>
      </c>
      <c r="E380" t="s">
        <v>26</v>
      </c>
      <c r="F380" t="s">
        <v>27</v>
      </c>
      <c r="G380" t="s">
        <v>28</v>
      </c>
      <c r="H380" t="s">
        <v>28</v>
      </c>
      <c r="I380" t="s">
        <v>34</v>
      </c>
      <c r="J380">
        <v>127009251</v>
      </c>
      <c r="K380">
        <v>127205859</v>
      </c>
      <c r="L380">
        <v>127107555</v>
      </c>
      <c r="M380">
        <v>0.42044669151370923</v>
      </c>
    </row>
    <row r="381" spans="1:13" x14ac:dyDescent="0.35">
      <c r="A381" t="s">
        <v>151</v>
      </c>
      <c r="B381">
        <v>741</v>
      </c>
      <c r="C381" t="s">
        <v>45</v>
      </c>
      <c r="D381" t="s">
        <v>46</v>
      </c>
      <c r="E381" t="s">
        <v>47</v>
      </c>
      <c r="F381" t="s">
        <v>48</v>
      </c>
      <c r="G381" t="s">
        <v>49</v>
      </c>
      <c r="H381" t="s">
        <v>49</v>
      </c>
      <c r="I381" t="s">
        <v>22</v>
      </c>
      <c r="J381">
        <v>64978441</v>
      </c>
      <c r="K381">
        <v>65175049</v>
      </c>
      <c r="L381">
        <v>65076745</v>
      </c>
      <c r="M381">
        <v>0.41862917216311829</v>
      </c>
    </row>
    <row r="382" spans="1:13" x14ac:dyDescent="0.35">
      <c r="A382" t="s">
        <v>147</v>
      </c>
      <c r="B382">
        <v>729</v>
      </c>
      <c r="C382" t="s">
        <v>45</v>
      </c>
      <c r="D382" t="s">
        <v>46</v>
      </c>
      <c r="E382" t="s">
        <v>50</v>
      </c>
      <c r="F382" t="s">
        <v>51</v>
      </c>
      <c r="G382" t="s">
        <v>52</v>
      </c>
      <c r="H382" t="s">
        <v>52</v>
      </c>
      <c r="I382" t="s">
        <v>34</v>
      </c>
      <c r="J382">
        <v>232390740</v>
      </c>
      <c r="K382">
        <v>232587348</v>
      </c>
      <c r="L382">
        <v>232489044</v>
      </c>
      <c r="M382">
        <v>0.41734074490903528</v>
      </c>
    </row>
    <row r="383" spans="1:13" x14ac:dyDescent="0.35">
      <c r="A383" t="s">
        <v>131</v>
      </c>
      <c r="B383">
        <v>729</v>
      </c>
      <c r="C383" t="s">
        <v>45</v>
      </c>
      <c r="D383" t="s">
        <v>46</v>
      </c>
      <c r="E383" t="s">
        <v>50</v>
      </c>
      <c r="F383" t="s">
        <v>51</v>
      </c>
      <c r="G383" t="s">
        <v>52</v>
      </c>
      <c r="H383" t="s">
        <v>52</v>
      </c>
      <c r="I383" t="s">
        <v>43</v>
      </c>
      <c r="J383">
        <v>154096343</v>
      </c>
      <c r="K383">
        <v>154292951</v>
      </c>
      <c r="L383">
        <v>154194647</v>
      </c>
      <c r="M383">
        <v>0.41226949817277281</v>
      </c>
    </row>
    <row r="384" spans="1:13" x14ac:dyDescent="0.35">
      <c r="A384" t="s">
        <v>71</v>
      </c>
      <c r="B384">
        <v>724</v>
      </c>
      <c r="C384" t="s">
        <v>45</v>
      </c>
      <c r="D384" t="s">
        <v>58</v>
      </c>
      <c r="E384" t="s">
        <v>50</v>
      </c>
      <c r="F384" t="s">
        <v>59</v>
      </c>
      <c r="G384" t="s">
        <v>60</v>
      </c>
      <c r="H384" t="s">
        <v>60</v>
      </c>
      <c r="I384" t="s">
        <v>72</v>
      </c>
      <c r="J384">
        <v>1885888</v>
      </c>
      <c r="K384">
        <v>2082496</v>
      </c>
      <c r="L384">
        <v>1984192</v>
      </c>
      <c r="M384">
        <v>0.41192216339161442</v>
      </c>
    </row>
    <row r="385" spans="1:13" x14ac:dyDescent="0.35">
      <c r="A385" t="s">
        <v>129</v>
      </c>
      <c r="B385">
        <v>117</v>
      </c>
      <c r="C385" t="s">
        <v>18</v>
      </c>
      <c r="E385" t="s">
        <v>19</v>
      </c>
      <c r="F385" t="s">
        <v>20</v>
      </c>
      <c r="G385" t="s">
        <v>21</v>
      </c>
      <c r="H385" t="s">
        <v>21</v>
      </c>
      <c r="I385" t="s">
        <v>56</v>
      </c>
      <c r="J385">
        <v>69024727</v>
      </c>
      <c r="K385">
        <v>69221335</v>
      </c>
      <c r="L385">
        <v>69123031</v>
      </c>
      <c r="M385">
        <v>0.39663864751387767</v>
      </c>
    </row>
    <row r="386" spans="1:13" x14ac:dyDescent="0.35">
      <c r="A386" t="s">
        <v>141</v>
      </c>
      <c r="B386">
        <v>724</v>
      </c>
      <c r="C386" t="s">
        <v>45</v>
      </c>
      <c r="D386" t="s">
        <v>58</v>
      </c>
      <c r="E386" t="s">
        <v>50</v>
      </c>
      <c r="F386" t="s">
        <v>59</v>
      </c>
      <c r="G386" t="s">
        <v>60</v>
      </c>
      <c r="H386" t="s">
        <v>60</v>
      </c>
      <c r="I386" t="s">
        <v>101</v>
      </c>
      <c r="J386">
        <v>10559004</v>
      </c>
      <c r="K386">
        <v>10755612</v>
      </c>
      <c r="L386">
        <v>10657308</v>
      </c>
      <c r="M386">
        <v>0.39525866980057789</v>
      </c>
    </row>
    <row r="387" spans="1:13" x14ac:dyDescent="0.35">
      <c r="A387" t="s">
        <v>142</v>
      </c>
      <c r="B387">
        <v>724</v>
      </c>
      <c r="C387" t="s">
        <v>45</v>
      </c>
      <c r="D387" t="s">
        <v>58</v>
      </c>
      <c r="E387" t="s">
        <v>50</v>
      </c>
      <c r="F387" t="s">
        <v>59</v>
      </c>
      <c r="G387" t="s">
        <v>60</v>
      </c>
      <c r="H387" t="s">
        <v>60</v>
      </c>
      <c r="I387" t="s">
        <v>43</v>
      </c>
      <c r="J387">
        <v>236565836</v>
      </c>
      <c r="K387">
        <v>236762444</v>
      </c>
      <c r="L387">
        <v>236664140</v>
      </c>
      <c r="M387">
        <v>0.39327413552796919</v>
      </c>
    </row>
    <row r="388" spans="1:13" x14ac:dyDescent="0.35">
      <c r="A388" t="s">
        <v>89</v>
      </c>
      <c r="B388">
        <v>737</v>
      </c>
      <c r="C388" t="s">
        <v>45</v>
      </c>
      <c r="D388" t="s">
        <v>58</v>
      </c>
      <c r="E388" t="s">
        <v>47</v>
      </c>
      <c r="F388" t="s">
        <v>61</v>
      </c>
      <c r="G388" t="s">
        <v>62</v>
      </c>
      <c r="H388" t="s">
        <v>62</v>
      </c>
      <c r="I388" t="s">
        <v>43</v>
      </c>
      <c r="J388">
        <v>155984267</v>
      </c>
      <c r="K388">
        <v>156180875</v>
      </c>
      <c r="L388">
        <v>156082571</v>
      </c>
      <c r="M388">
        <v>0.39173986981649261</v>
      </c>
    </row>
    <row r="389" spans="1:13" x14ac:dyDescent="0.35">
      <c r="A389" t="s">
        <v>121</v>
      </c>
      <c r="B389">
        <v>737</v>
      </c>
      <c r="C389" t="s">
        <v>45</v>
      </c>
      <c r="D389" t="s">
        <v>58</v>
      </c>
      <c r="E389" t="s">
        <v>47</v>
      </c>
      <c r="F389" t="s">
        <v>61</v>
      </c>
      <c r="G389" t="s">
        <v>62</v>
      </c>
      <c r="H389" t="s">
        <v>62</v>
      </c>
      <c r="I389" t="s">
        <v>39</v>
      </c>
      <c r="J389">
        <v>17519125</v>
      </c>
      <c r="K389">
        <v>17715733</v>
      </c>
      <c r="L389">
        <v>17617429</v>
      </c>
      <c r="M389">
        <v>0.38964135942360628</v>
      </c>
    </row>
    <row r="390" spans="1:13" x14ac:dyDescent="0.35">
      <c r="A390" t="s">
        <v>116</v>
      </c>
      <c r="B390">
        <v>737</v>
      </c>
      <c r="C390" t="s">
        <v>45</v>
      </c>
      <c r="D390" t="s">
        <v>58</v>
      </c>
      <c r="E390" t="s">
        <v>47</v>
      </c>
      <c r="F390" t="s">
        <v>61</v>
      </c>
      <c r="G390" t="s">
        <v>62</v>
      </c>
      <c r="H390" t="s">
        <v>62</v>
      </c>
      <c r="I390" t="s">
        <v>76</v>
      </c>
      <c r="J390">
        <v>38335386</v>
      </c>
      <c r="K390">
        <v>38531994</v>
      </c>
      <c r="L390">
        <v>38433690</v>
      </c>
      <c r="M390">
        <v>0.38947905573826669</v>
      </c>
    </row>
    <row r="391" spans="1:13" x14ac:dyDescent="0.35">
      <c r="A391" t="s">
        <v>99</v>
      </c>
      <c r="B391">
        <v>724</v>
      </c>
      <c r="C391" t="s">
        <v>45</v>
      </c>
      <c r="D391" t="s">
        <v>58</v>
      </c>
      <c r="E391" t="s">
        <v>50</v>
      </c>
      <c r="F391" t="s">
        <v>59</v>
      </c>
      <c r="G391" t="s">
        <v>60</v>
      </c>
      <c r="H391" t="s">
        <v>60</v>
      </c>
      <c r="I391" t="s">
        <v>37</v>
      </c>
      <c r="J391">
        <v>185044928</v>
      </c>
      <c r="K391">
        <v>185241536</v>
      </c>
      <c r="L391">
        <v>185143232</v>
      </c>
      <c r="M391">
        <v>0.38919316153258687</v>
      </c>
    </row>
    <row r="392" spans="1:13" x14ac:dyDescent="0.35">
      <c r="A392" t="s">
        <v>86</v>
      </c>
      <c r="B392">
        <v>724</v>
      </c>
      <c r="C392" t="s">
        <v>45</v>
      </c>
      <c r="D392" t="s">
        <v>58</v>
      </c>
      <c r="E392" t="s">
        <v>50</v>
      </c>
      <c r="F392" t="s">
        <v>59</v>
      </c>
      <c r="G392" t="s">
        <v>60</v>
      </c>
      <c r="H392" t="s">
        <v>60</v>
      </c>
      <c r="I392" t="s">
        <v>34</v>
      </c>
      <c r="J392">
        <v>237316100</v>
      </c>
      <c r="K392">
        <v>237512708</v>
      </c>
      <c r="L392">
        <v>237414404</v>
      </c>
      <c r="M392">
        <v>0.38851899744820001</v>
      </c>
    </row>
    <row r="393" spans="1:13" x14ac:dyDescent="0.35">
      <c r="A393" t="s">
        <v>151</v>
      </c>
      <c r="B393">
        <v>737</v>
      </c>
      <c r="C393" t="s">
        <v>45</v>
      </c>
      <c r="D393" t="s">
        <v>58</v>
      </c>
      <c r="E393" t="s">
        <v>47</v>
      </c>
      <c r="F393" t="s">
        <v>61</v>
      </c>
      <c r="G393" t="s">
        <v>62</v>
      </c>
      <c r="H393" t="s">
        <v>62</v>
      </c>
      <c r="I393" t="s">
        <v>22</v>
      </c>
      <c r="J393">
        <v>64978441</v>
      </c>
      <c r="K393">
        <v>65175049</v>
      </c>
      <c r="L393">
        <v>65076745</v>
      </c>
      <c r="M393">
        <v>0.38748612682313871</v>
      </c>
    </row>
    <row r="394" spans="1:13" x14ac:dyDescent="0.35">
      <c r="A394" t="s">
        <v>35</v>
      </c>
      <c r="B394">
        <v>724</v>
      </c>
      <c r="C394" t="s">
        <v>45</v>
      </c>
      <c r="D394" t="s">
        <v>58</v>
      </c>
      <c r="E394" t="s">
        <v>50</v>
      </c>
      <c r="F394" t="s">
        <v>59</v>
      </c>
      <c r="G394" t="s">
        <v>60</v>
      </c>
      <c r="H394" t="s">
        <v>60</v>
      </c>
      <c r="I394" t="s">
        <v>29</v>
      </c>
      <c r="J394">
        <v>11051264</v>
      </c>
      <c r="K394">
        <v>11247872</v>
      </c>
      <c r="L394">
        <v>11149568</v>
      </c>
      <c r="M394">
        <v>0.38570089808003077</v>
      </c>
    </row>
    <row r="395" spans="1:13" x14ac:dyDescent="0.35">
      <c r="A395" t="s">
        <v>77</v>
      </c>
      <c r="B395">
        <v>117</v>
      </c>
      <c r="C395" t="s">
        <v>18</v>
      </c>
      <c r="E395" t="s">
        <v>19</v>
      </c>
      <c r="F395" t="s">
        <v>20</v>
      </c>
      <c r="G395" t="s">
        <v>21</v>
      </c>
      <c r="H395" t="s">
        <v>21</v>
      </c>
      <c r="I395" t="s">
        <v>56</v>
      </c>
      <c r="J395">
        <v>186708753</v>
      </c>
      <c r="K395">
        <v>186905361</v>
      </c>
      <c r="L395">
        <v>186807057</v>
      </c>
      <c r="M395">
        <v>0.3845283251337831</v>
      </c>
    </row>
    <row r="396" spans="1:13" x14ac:dyDescent="0.35">
      <c r="A396" t="s">
        <v>82</v>
      </c>
      <c r="B396">
        <v>724</v>
      </c>
      <c r="C396" t="s">
        <v>45</v>
      </c>
      <c r="D396" t="s">
        <v>58</v>
      </c>
      <c r="E396" t="s">
        <v>50</v>
      </c>
      <c r="F396" t="s">
        <v>59</v>
      </c>
      <c r="G396" t="s">
        <v>60</v>
      </c>
      <c r="H396" t="s">
        <v>60</v>
      </c>
      <c r="I396" t="s">
        <v>83</v>
      </c>
      <c r="J396">
        <v>29928397</v>
      </c>
      <c r="K396">
        <v>30125005</v>
      </c>
      <c r="L396">
        <v>30026701</v>
      </c>
      <c r="M396">
        <v>0.38323761526967298</v>
      </c>
    </row>
    <row r="397" spans="1:13" x14ac:dyDescent="0.35">
      <c r="A397" t="s">
        <v>150</v>
      </c>
      <c r="B397">
        <v>117</v>
      </c>
      <c r="C397" t="s">
        <v>18</v>
      </c>
      <c r="E397" t="s">
        <v>19</v>
      </c>
      <c r="F397" t="s">
        <v>20</v>
      </c>
      <c r="G397" t="s">
        <v>21</v>
      </c>
      <c r="H397" t="s">
        <v>21</v>
      </c>
      <c r="I397" t="s">
        <v>88</v>
      </c>
      <c r="J397">
        <v>3756222</v>
      </c>
      <c r="K397">
        <v>3952830</v>
      </c>
      <c r="L397">
        <v>3854526</v>
      </c>
      <c r="M397">
        <v>0.3798393562397665</v>
      </c>
    </row>
    <row r="398" spans="1:13" x14ac:dyDescent="0.35">
      <c r="A398" t="s">
        <v>143</v>
      </c>
      <c r="B398">
        <v>737</v>
      </c>
      <c r="C398" t="s">
        <v>45</v>
      </c>
      <c r="D398" t="s">
        <v>58</v>
      </c>
      <c r="E398" t="s">
        <v>47</v>
      </c>
      <c r="F398" t="s">
        <v>61</v>
      </c>
      <c r="G398" t="s">
        <v>62</v>
      </c>
      <c r="H398" t="s">
        <v>62</v>
      </c>
      <c r="I398" t="s">
        <v>83</v>
      </c>
      <c r="J398">
        <v>26103224</v>
      </c>
      <c r="K398">
        <v>26299832</v>
      </c>
      <c r="L398">
        <v>26201528</v>
      </c>
      <c r="M398">
        <v>0.37947518668578589</v>
      </c>
    </row>
    <row r="399" spans="1:13" x14ac:dyDescent="0.35">
      <c r="A399" t="s">
        <v>118</v>
      </c>
      <c r="B399">
        <v>737</v>
      </c>
      <c r="C399" t="s">
        <v>45</v>
      </c>
      <c r="D399" t="s">
        <v>58</v>
      </c>
      <c r="E399" t="s">
        <v>47</v>
      </c>
      <c r="F399" t="s">
        <v>61</v>
      </c>
      <c r="G399" t="s">
        <v>62</v>
      </c>
      <c r="H399" t="s">
        <v>62</v>
      </c>
      <c r="I399" t="s">
        <v>76</v>
      </c>
      <c r="J399">
        <v>18963392</v>
      </c>
      <c r="K399">
        <v>19160000</v>
      </c>
      <c r="L399">
        <v>19061696</v>
      </c>
      <c r="M399">
        <v>0.37551516200712959</v>
      </c>
    </row>
    <row r="400" spans="1:13" x14ac:dyDescent="0.35">
      <c r="A400" t="s">
        <v>132</v>
      </c>
      <c r="B400">
        <v>741</v>
      </c>
      <c r="C400" t="s">
        <v>45</v>
      </c>
      <c r="D400" t="s">
        <v>46</v>
      </c>
      <c r="E400" t="s">
        <v>47</v>
      </c>
      <c r="F400" t="s">
        <v>48</v>
      </c>
      <c r="G400" t="s">
        <v>49</v>
      </c>
      <c r="H400" t="s">
        <v>49</v>
      </c>
      <c r="I400" t="s">
        <v>31</v>
      </c>
      <c r="J400">
        <v>151298210</v>
      </c>
      <c r="K400">
        <v>151494818</v>
      </c>
      <c r="L400">
        <v>151396514</v>
      </c>
      <c r="M400">
        <v>0.37543640046691529</v>
      </c>
    </row>
    <row r="401" spans="1:13" x14ac:dyDescent="0.35">
      <c r="A401" t="s">
        <v>106</v>
      </c>
      <c r="B401">
        <v>116</v>
      </c>
      <c r="C401" t="s">
        <v>18</v>
      </c>
      <c r="E401" t="s">
        <v>26</v>
      </c>
      <c r="F401" t="s">
        <v>27</v>
      </c>
      <c r="G401" t="s">
        <v>28</v>
      </c>
      <c r="H401" t="s">
        <v>28</v>
      </c>
      <c r="I401" t="s">
        <v>39</v>
      </c>
      <c r="J401">
        <v>69703575</v>
      </c>
      <c r="K401">
        <v>69900183</v>
      </c>
      <c r="L401">
        <v>69801879</v>
      </c>
      <c r="M401">
        <v>0.37340349597326439</v>
      </c>
    </row>
    <row r="402" spans="1:13" x14ac:dyDescent="0.35">
      <c r="A402" t="s">
        <v>103</v>
      </c>
      <c r="B402">
        <v>737</v>
      </c>
      <c r="C402" t="s">
        <v>45</v>
      </c>
      <c r="D402" t="s">
        <v>58</v>
      </c>
      <c r="E402" t="s">
        <v>47</v>
      </c>
      <c r="F402" t="s">
        <v>61</v>
      </c>
      <c r="G402" t="s">
        <v>62</v>
      </c>
      <c r="H402" t="s">
        <v>62</v>
      </c>
      <c r="I402" t="s">
        <v>104</v>
      </c>
      <c r="J402">
        <v>35591751</v>
      </c>
      <c r="K402">
        <v>35788359</v>
      </c>
      <c r="L402">
        <v>35690055</v>
      </c>
      <c r="M402">
        <v>0.37311639922530349</v>
      </c>
    </row>
    <row r="403" spans="1:13" x14ac:dyDescent="0.35">
      <c r="A403" t="s">
        <v>148</v>
      </c>
      <c r="B403">
        <v>737</v>
      </c>
      <c r="C403" t="s">
        <v>45</v>
      </c>
      <c r="D403" t="s">
        <v>58</v>
      </c>
      <c r="E403" t="s">
        <v>47</v>
      </c>
      <c r="F403" t="s">
        <v>61</v>
      </c>
      <c r="G403" t="s">
        <v>62</v>
      </c>
      <c r="H403" t="s">
        <v>62</v>
      </c>
      <c r="I403" t="s">
        <v>34</v>
      </c>
      <c r="J403">
        <v>178732497</v>
      </c>
      <c r="K403">
        <v>178929105</v>
      </c>
      <c r="L403">
        <v>178830801</v>
      </c>
      <c r="M403">
        <v>0.36819909351199431</v>
      </c>
    </row>
    <row r="404" spans="1:13" x14ac:dyDescent="0.35">
      <c r="A404" t="s">
        <v>144</v>
      </c>
      <c r="B404">
        <v>741</v>
      </c>
      <c r="C404" t="s">
        <v>45</v>
      </c>
      <c r="D404" t="s">
        <v>46</v>
      </c>
      <c r="E404" t="s">
        <v>47</v>
      </c>
      <c r="F404" t="s">
        <v>48</v>
      </c>
      <c r="G404" t="s">
        <v>49</v>
      </c>
      <c r="H404" t="s">
        <v>49</v>
      </c>
      <c r="I404" t="s">
        <v>41</v>
      </c>
      <c r="J404">
        <v>53831677</v>
      </c>
      <c r="K404">
        <v>54028285</v>
      </c>
      <c r="L404">
        <v>53929981</v>
      </c>
      <c r="M404">
        <v>0.36813128767975162</v>
      </c>
    </row>
    <row r="405" spans="1:13" x14ac:dyDescent="0.35">
      <c r="A405" t="s">
        <v>106</v>
      </c>
      <c r="B405">
        <v>724</v>
      </c>
      <c r="C405" t="s">
        <v>45</v>
      </c>
      <c r="D405" t="s">
        <v>58</v>
      </c>
      <c r="E405" t="s">
        <v>50</v>
      </c>
      <c r="F405" t="s">
        <v>59</v>
      </c>
      <c r="G405" t="s">
        <v>60</v>
      </c>
      <c r="H405" t="s">
        <v>60</v>
      </c>
      <c r="I405" t="s">
        <v>39</v>
      </c>
      <c r="J405">
        <v>69703575</v>
      </c>
      <c r="K405">
        <v>69900183</v>
      </c>
      <c r="L405">
        <v>69801879</v>
      </c>
      <c r="M405">
        <v>0.36655094012125139</v>
      </c>
    </row>
    <row r="406" spans="1:13" x14ac:dyDescent="0.35">
      <c r="A406" t="s">
        <v>135</v>
      </c>
      <c r="B406">
        <v>737</v>
      </c>
      <c r="C406" t="s">
        <v>45</v>
      </c>
      <c r="D406" t="s">
        <v>58</v>
      </c>
      <c r="E406" t="s">
        <v>47</v>
      </c>
      <c r="F406" t="s">
        <v>61</v>
      </c>
      <c r="G406" t="s">
        <v>62</v>
      </c>
      <c r="H406" t="s">
        <v>62</v>
      </c>
      <c r="I406" t="s">
        <v>41</v>
      </c>
      <c r="J406">
        <v>123538955</v>
      </c>
      <c r="K406">
        <v>123735563</v>
      </c>
      <c r="L406">
        <v>123637259</v>
      </c>
      <c r="M406">
        <v>0.36297431998116209</v>
      </c>
    </row>
    <row r="407" spans="1:13" x14ac:dyDescent="0.35">
      <c r="A407" t="s">
        <v>108</v>
      </c>
      <c r="B407">
        <v>741</v>
      </c>
      <c r="C407" t="s">
        <v>45</v>
      </c>
      <c r="D407" t="s">
        <v>46</v>
      </c>
      <c r="E407" t="s">
        <v>47</v>
      </c>
      <c r="F407" t="s">
        <v>48</v>
      </c>
      <c r="G407" t="s">
        <v>49</v>
      </c>
      <c r="H407" t="s">
        <v>49</v>
      </c>
      <c r="I407" t="s">
        <v>24</v>
      </c>
      <c r="J407">
        <v>80618607</v>
      </c>
      <c r="K407">
        <v>80815215</v>
      </c>
      <c r="L407">
        <v>80716911</v>
      </c>
      <c r="M407">
        <v>0.36075075866800321</v>
      </c>
    </row>
    <row r="408" spans="1:13" x14ac:dyDescent="0.35">
      <c r="A408" t="s">
        <v>67</v>
      </c>
      <c r="B408">
        <v>116</v>
      </c>
      <c r="C408" t="s">
        <v>18</v>
      </c>
      <c r="E408" t="s">
        <v>26</v>
      </c>
      <c r="F408" t="s">
        <v>27</v>
      </c>
      <c r="G408" t="s">
        <v>28</v>
      </c>
      <c r="H408" t="s">
        <v>28</v>
      </c>
      <c r="I408" t="s">
        <v>34</v>
      </c>
      <c r="J408">
        <v>169411382</v>
      </c>
      <c r="K408">
        <v>169607990</v>
      </c>
      <c r="L408">
        <v>169509686</v>
      </c>
      <c r="M408">
        <v>0.35792637183906711</v>
      </c>
    </row>
    <row r="409" spans="1:13" x14ac:dyDescent="0.35">
      <c r="A409" t="s">
        <v>100</v>
      </c>
      <c r="B409">
        <v>741</v>
      </c>
      <c r="C409" t="s">
        <v>45</v>
      </c>
      <c r="D409" t="s">
        <v>46</v>
      </c>
      <c r="E409" t="s">
        <v>47</v>
      </c>
      <c r="F409" t="s">
        <v>48</v>
      </c>
      <c r="G409" t="s">
        <v>49</v>
      </c>
      <c r="H409" t="s">
        <v>49</v>
      </c>
      <c r="I409" t="s">
        <v>101</v>
      </c>
      <c r="J409">
        <v>10451395</v>
      </c>
      <c r="K409">
        <v>10648003</v>
      </c>
      <c r="L409">
        <v>10549699</v>
      </c>
      <c r="M409">
        <v>0.35499992804516428</v>
      </c>
    </row>
  </sheetData>
  <phoneticPr fontId="10" type="noConversion"/>
  <conditionalFormatting sqref="M2:M601">
    <cfRule type="colorScale" priority="1">
      <colorScale>
        <cfvo type="num" val="0.3"/>
        <cfvo type="num" val="0.65"/>
        <cfvo type="num" val="1"/>
        <color rgb="FFFDE0DD"/>
        <color rgb="FFC7E9C0"/>
        <color rgb="FF41AB5D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9"/>
  <sheetViews>
    <sheetView showGridLines="0" workbookViewId="0"/>
  </sheetViews>
  <sheetFormatPr defaultRowHeight="14.5" x14ac:dyDescent="0.35"/>
  <cols>
    <col min="1" max="1" width="12" customWidth="1"/>
    <col min="2" max="2" width="11" customWidth="1"/>
    <col min="3" max="3" width="10" customWidth="1"/>
    <col min="4" max="4" width="11" customWidth="1"/>
    <col min="5" max="5" width="28" customWidth="1"/>
    <col min="6" max="6" width="48" customWidth="1"/>
    <col min="7" max="7" width="15" customWidth="1"/>
    <col min="8" max="8" width="12" customWidth="1"/>
    <col min="9" max="9" width="20" customWidth="1"/>
    <col min="10" max="10" width="11" customWidth="1"/>
    <col min="11" max="11" width="12" customWidth="1"/>
    <col min="12" max="13" width="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152</v>
      </c>
      <c r="J1" s="1" t="s">
        <v>12</v>
      </c>
      <c r="K1" s="1" t="s">
        <v>13</v>
      </c>
      <c r="L1" s="1" t="s">
        <v>15</v>
      </c>
      <c r="M1" s="1" t="s">
        <v>16</v>
      </c>
    </row>
    <row r="2" spans="1:13" x14ac:dyDescent="0.35">
      <c r="A2" t="s">
        <v>17</v>
      </c>
      <c r="B2">
        <v>117</v>
      </c>
      <c r="C2" t="s">
        <v>18</v>
      </c>
      <c r="E2" t="s">
        <v>19</v>
      </c>
      <c r="F2" t="s">
        <v>20</v>
      </c>
      <c r="G2" t="s">
        <v>21</v>
      </c>
      <c r="H2">
        <v>0.99535134977539996</v>
      </c>
      <c r="I2" t="s">
        <v>153</v>
      </c>
      <c r="J2">
        <v>36</v>
      </c>
      <c r="K2">
        <v>4</v>
      </c>
      <c r="L2">
        <v>-3.84</v>
      </c>
      <c r="M2">
        <v>3.84</v>
      </c>
    </row>
    <row r="3" spans="1:13" x14ac:dyDescent="0.35">
      <c r="A3" t="s">
        <v>23</v>
      </c>
      <c r="B3">
        <v>117</v>
      </c>
      <c r="C3" t="s">
        <v>18</v>
      </c>
      <c r="E3" t="s">
        <v>19</v>
      </c>
      <c r="F3" t="s">
        <v>20</v>
      </c>
      <c r="G3" t="s">
        <v>21</v>
      </c>
      <c r="H3">
        <v>0.99376090966297603</v>
      </c>
      <c r="I3" t="s">
        <v>153</v>
      </c>
      <c r="J3">
        <v>36</v>
      </c>
      <c r="K3">
        <v>4</v>
      </c>
      <c r="L3">
        <v>-3.84</v>
      </c>
      <c r="M3">
        <v>3.84</v>
      </c>
    </row>
    <row r="4" spans="1:13" x14ac:dyDescent="0.35">
      <c r="A4" t="s">
        <v>25</v>
      </c>
      <c r="B4">
        <v>116</v>
      </c>
      <c r="C4" t="s">
        <v>18</v>
      </c>
      <c r="E4" t="s">
        <v>26</v>
      </c>
      <c r="F4" t="s">
        <v>27</v>
      </c>
      <c r="G4" t="s">
        <v>28</v>
      </c>
      <c r="H4">
        <v>0.98962209976548565</v>
      </c>
      <c r="I4" t="s">
        <v>153</v>
      </c>
      <c r="J4">
        <v>36</v>
      </c>
      <c r="K4">
        <v>4</v>
      </c>
      <c r="L4">
        <v>-3.84</v>
      </c>
      <c r="M4">
        <v>3.84</v>
      </c>
    </row>
    <row r="5" spans="1:13" x14ac:dyDescent="0.35">
      <c r="A5" t="s">
        <v>30</v>
      </c>
      <c r="B5">
        <v>117</v>
      </c>
      <c r="C5" t="s">
        <v>18</v>
      </c>
      <c r="E5" t="s">
        <v>19</v>
      </c>
      <c r="F5" t="s">
        <v>20</v>
      </c>
      <c r="G5" t="s">
        <v>21</v>
      </c>
      <c r="H5">
        <v>0.98737671167477759</v>
      </c>
      <c r="I5" t="s">
        <v>153</v>
      </c>
      <c r="J5">
        <v>36</v>
      </c>
      <c r="K5">
        <v>4</v>
      </c>
      <c r="L5">
        <v>-3.84</v>
      </c>
      <c r="M5">
        <v>3.84</v>
      </c>
    </row>
    <row r="6" spans="1:13" x14ac:dyDescent="0.35">
      <c r="A6" t="s">
        <v>32</v>
      </c>
      <c r="B6">
        <v>116</v>
      </c>
      <c r="C6" t="s">
        <v>18</v>
      </c>
      <c r="E6" t="s">
        <v>26</v>
      </c>
      <c r="F6" t="s">
        <v>27</v>
      </c>
      <c r="G6" t="s">
        <v>28</v>
      </c>
      <c r="H6">
        <v>0.98714460987496921</v>
      </c>
      <c r="I6" t="s">
        <v>153</v>
      </c>
      <c r="J6">
        <v>36</v>
      </c>
      <c r="K6">
        <v>4</v>
      </c>
      <c r="L6">
        <v>-3.84</v>
      </c>
      <c r="M6">
        <v>3.84</v>
      </c>
    </row>
    <row r="7" spans="1:13" x14ac:dyDescent="0.35">
      <c r="A7" t="s">
        <v>25</v>
      </c>
      <c r="B7">
        <v>117</v>
      </c>
      <c r="C7" t="s">
        <v>18</v>
      </c>
      <c r="E7" t="s">
        <v>19</v>
      </c>
      <c r="F7" t="s">
        <v>20</v>
      </c>
      <c r="G7" t="s">
        <v>21</v>
      </c>
      <c r="H7">
        <v>0.98444430615121759</v>
      </c>
      <c r="I7" t="s">
        <v>153</v>
      </c>
      <c r="J7">
        <v>36</v>
      </c>
      <c r="K7">
        <v>4</v>
      </c>
      <c r="L7">
        <v>-3.84</v>
      </c>
      <c r="M7">
        <v>3.84</v>
      </c>
    </row>
    <row r="8" spans="1:13" x14ac:dyDescent="0.35">
      <c r="A8" t="s">
        <v>17</v>
      </c>
      <c r="B8">
        <v>116</v>
      </c>
      <c r="C8" t="s">
        <v>18</v>
      </c>
      <c r="E8" t="s">
        <v>26</v>
      </c>
      <c r="F8" t="s">
        <v>27</v>
      </c>
      <c r="G8" t="s">
        <v>28</v>
      </c>
      <c r="H8">
        <v>0.98269346458259199</v>
      </c>
      <c r="I8" t="s">
        <v>153</v>
      </c>
      <c r="J8">
        <v>36</v>
      </c>
      <c r="K8">
        <v>4</v>
      </c>
      <c r="L8">
        <v>-3.84</v>
      </c>
      <c r="M8">
        <v>3.84</v>
      </c>
    </row>
    <row r="9" spans="1:13" x14ac:dyDescent="0.35">
      <c r="A9" t="s">
        <v>33</v>
      </c>
      <c r="B9">
        <v>117</v>
      </c>
      <c r="C9" t="s">
        <v>18</v>
      </c>
      <c r="E9" t="s">
        <v>19</v>
      </c>
      <c r="F9" t="s">
        <v>20</v>
      </c>
      <c r="G9" t="s">
        <v>21</v>
      </c>
      <c r="H9">
        <v>0.97711542123591444</v>
      </c>
      <c r="I9" t="s">
        <v>153</v>
      </c>
      <c r="J9">
        <v>36</v>
      </c>
      <c r="K9">
        <v>4</v>
      </c>
      <c r="L9">
        <v>-3.84</v>
      </c>
      <c r="M9">
        <v>3.84</v>
      </c>
    </row>
    <row r="10" spans="1:13" x14ac:dyDescent="0.35">
      <c r="A10" t="s">
        <v>35</v>
      </c>
      <c r="B10">
        <v>116</v>
      </c>
      <c r="C10" t="s">
        <v>18</v>
      </c>
      <c r="E10" t="s">
        <v>26</v>
      </c>
      <c r="F10" t="s">
        <v>27</v>
      </c>
      <c r="G10" t="s">
        <v>28</v>
      </c>
      <c r="H10">
        <v>0.976543128551701</v>
      </c>
      <c r="I10" t="s">
        <v>153</v>
      </c>
      <c r="J10">
        <v>36</v>
      </c>
      <c r="K10">
        <v>4</v>
      </c>
      <c r="L10">
        <v>-3.84</v>
      </c>
      <c r="M10">
        <v>3.84</v>
      </c>
    </row>
    <row r="11" spans="1:13" x14ac:dyDescent="0.35">
      <c r="A11" t="s">
        <v>36</v>
      </c>
      <c r="B11">
        <v>117</v>
      </c>
      <c r="C11" t="s">
        <v>18</v>
      </c>
      <c r="E11" t="s">
        <v>19</v>
      </c>
      <c r="F11" t="s">
        <v>20</v>
      </c>
      <c r="G11" t="s">
        <v>21</v>
      </c>
      <c r="H11">
        <v>0.97338570235250022</v>
      </c>
      <c r="I11" t="s">
        <v>153</v>
      </c>
      <c r="J11">
        <v>36</v>
      </c>
      <c r="K11">
        <v>4</v>
      </c>
      <c r="L11">
        <v>-3.84</v>
      </c>
      <c r="M11">
        <v>3.84</v>
      </c>
    </row>
    <row r="12" spans="1:13" x14ac:dyDescent="0.35">
      <c r="A12" t="s">
        <v>38</v>
      </c>
      <c r="B12">
        <v>116</v>
      </c>
      <c r="C12" t="s">
        <v>18</v>
      </c>
      <c r="E12" t="s">
        <v>26</v>
      </c>
      <c r="F12" t="s">
        <v>27</v>
      </c>
      <c r="G12" t="s">
        <v>28</v>
      </c>
      <c r="H12">
        <v>0.96674585879111241</v>
      </c>
      <c r="I12" t="s">
        <v>153</v>
      </c>
      <c r="J12">
        <v>36</v>
      </c>
      <c r="K12">
        <v>4</v>
      </c>
      <c r="L12">
        <v>-3.84</v>
      </c>
      <c r="M12">
        <v>3.84</v>
      </c>
    </row>
    <row r="13" spans="1:13" x14ac:dyDescent="0.35">
      <c r="A13" t="s">
        <v>40</v>
      </c>
      <c r="B13">
        <v>116</v>
      </c>
      <c r="C13" t="s">
        <v>18</v>
      </c>
      <c r="E13" t="s">
        <v>26</v>
      </c>
      <c r="F13" t="s">
        <v>27</v>
      </c>
      <c r="G13" t="s">
        <v>28</v>
      </c>
      <c r="H13">
        <v>0.96579778523217885</v>
      </c>
      <c r="I13" t="s">
        <v>153</v>
      </c>
      <c r="J13">
        <v>36</v>
      </c>
      <c r="K13">
        <v>4</v>
      </c>
      <c r="L13">
        <v>-3.84</v>
      </c>
      <c r="M13">
        <v>3.84</v>
      </c>
    </row>
    <row r="14" spans="1:13" x14ac:dyDescent="0.35">
      <c r="A14" t="s">
        <v>42</v>
      </c>
      <c r="B14">
        <v>116</v>
      </c>
      <c r="C14" t="s">
        <v>18</v>
      </c>
      <c r="E14" t="s">
        <v>26</v>
      </c>
      <c r="F14" t="s">
        <v>27</v>
      </c>
      <c r="G14" t="s">
        <v>28</v>
      </c>
      <c r="H14">
        <v>0.96351329256061224</v>
      </c>
      <c r="I14" t="s">
        <v>153</v>
      </c>
      <c r="J14">
        <v>36</v>
      </c>
      <c r="K14">
        <v>4</v>
      </c>
      <c r="L14">
        <v>-3.84</v>
      </c>
      <c r="M14">
        <v>3.84</v>
      </c>
    </row>
    <row r="15" spans="1:13" x14ac:dyDescent="0.35">
      <c r="A15" t="s">
        <v>33</v>
      </c>
      <c r="B15">
        <v>116</v>
      </c>
      <c r="C15" t="s">
        <v>18</v>
      </c>
      <c r="E15" t="s">
        <v>26</v>
      </c>
      <c r="F15" t="s">
        <v>27</v>
      </c>
      <c r="G15" t="s">
        <v>28</v>
      </c>
      <c r="H15">
        <v>0.96037383097520601</v>
      </c>
      <c r="I15" t="s">
        <v>153</v>
      </c>
      <c r="J15">
        <v>36</v>
      </c>
      <c r="K15">
        <v>4</v>
      </c>
      <c r="L15">
        <v>-3.84</v>
      </c>
      <c r="M15">
        <v>3.84</v>
      </c>
    </row>
    <row r="16" spans="1:13" x14ac:dyDescent="0.35">
      <c r="A16" t="s">
        <v>44</v>
      </c>
      <c r="B16">
        <v>741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>
        <v>0.95901727680344195</v>
      </c>
      <c r="I16" t="s">
        <v>153</v>
      </c>
      <c r="J16">
        <v>36</v>
      </c>
      <c r="K16">
        <v>4</v>
      </c>
      <c r="L16">
        <v>-3.84</v>
      </c>
      <c r="M16">
        <v>3.84</v>
      </c>
    </row>
    <row r="17" spans="1:13" x14ac:dyDescent="0.35">
      <c r="A17" t="s">
        <v>30</v>
      </c>
      <c r="B17">
        <v>116</v>
      </c>
      <c r="C17" t="s">
        <v>18</v>
      </c>
      <c r="E17" t="s">
        <v>26</v>
      </c>
      <c r="F17" t="s">
        <v>27</v>
      </c>
      <c r="G17" t="s">
        <v>28</v>
      </c>
      <c r="H17">
        <v>0.95882535509592559</v>
      </c>
      <c r="I17" t="s">
        <v>153</v>
      </c>
      <c r="J17">
        <v>36</v>
      </c>
      <c r="K17">
        <v>4</v>
      </c>
      <c r="L17">
        <v>-3.84</v>
      </c>
      <c r="M17">
        <v>3.84</v>
      </c>
    </row>
    <row r="18" spans="1:13" x14ac:dyDescent="0.35">
      <c r="A18" t="s">
        <v>32</v>
      </c>
      <c r="B18">
        <v>117</v>
      </c>
      <c r="C18" t="s">
        <v>18</v>
      </c>
      <c r="E18" t="s">
        <v>19</v>
      </c>
      <c r="F18" t="s">
        <v>20</v>
      </c>
      <c r="G18" t="s">
        <v>21</v>
      </c>
      <c r="H18">
        <v>0.95800222055738682</v>
      </c>
      <c r="I18" t="s">
        <v>153</v>
      </c>
      <c r="J18">
        <v>36</v>
      </c>
      <c r="K18">
        <v>4</v>
      </c>
      <c r="L18">
        <v>-3.84</v>
      </c>
      <c r="M18">
        <v>3.84</v>
      </c>
    </row>
    <row r="19" spans="1:13" x14ac:dyDescent="0.35">
      <c r="A19" t="s">
        <v>36</v>
      </c>
      <c r="B19">
        <v>116</v>
      </c>
      <c r="C19" t="s">
        <v>18</v>
      </c>
      <c r="E19" t="s">
        <v>26</v>
      </c>
      <c r="F19" t="s">
        <v>27</v>
      </c>
      <c r="G19" t="s">
        <v>28</v>
      </c>
      <c r="H19">
        <v>0.9566648927490462</v>
      </c>
      <c r="I19" t="s">
        <v>153</v>
      </c>
      <c r="J19">
        <v>36</v>
      </c>
      <c r="K19">
        <v>4</v>
      </c>
      <c r="L19">
        <v>-3.84</v>
      </c>
      <c r="M19">
        <v>3.84</v>
      </c>
    </row>
    <row r="20" spans="1:13" x14ac:dyDescent="0.35">
      <c r="A20" t="s">
        <v>44</v>
      </c>
      <c r="B20">
        <v>729</v>
      </c>
      <c r="C20" t="s">
        <v>45</v>
      </c>
      <c r="D20" t="s">
        <v>46</v>
      </c>
      <c r="E20" t="s">
        <v>50</v>
      </c>
      <c r="F20" t="s">
        <v>51</v>
      </c>
      <c r="G20" t="s">
        <v>52</v>
      </c>
      <c r="H20">
        <v>0.9533057133647902</v>
      </c>
      <c r="I20" t="s">
        <v>153</v>
      </c>
      <c r="J20">
        <v>36</v>
      </c>
      <c r="K20">
        <v>4</v>
      </c>
      <c r="L20">
        <v>-3.84</v>
      </c>
      <c r="M20">
        <v>3.84</v>
      </c>
    </row>
    <row r="21" spans="1:13" x14ac:dyDescent="0.35">
      <c r="A21" t="s">
        <v>40</v>
      </c>
      <c r="B21">
        <v>117</v>
      </c>
      <c r="C21" t="s">
        <v>18</v>
      </c>
      <c r="E21" t="s">
        <v>19</v>
      </c>
      <c r="F21" t="s">
        <v>20</v>
      </c>
      <c r="G21" t="s">
        <v>21</v>
      </c>
      <c r="H21">
        <v>0.94838820242353095</v>
      </c>
      <c r="I21" t="s">
        <v>153</v>
      </c>
      <c r="J21">
        <v>36</v>
      </c>
      <c r="K21">
        <v>4</v>
      </c>
      <c r="L21">
        <v>-3.84</v>
      </c>
      <c r="M21">
        <v>3.84</v>
      </c>
    </row>
    <row r="22" spans="1:13" x14ac:dyDescent="0.35">
      <c r="A22" t="s">
        <v>23</v>
      </c>
      <c r="B22">
        <v>116</v>
      </c>
      <c r="C22" t="s">
        <v>18</v>
      </c>
      <c r="E22" t="s">
        <v>26</v>
      </c>
      <c r="F22" t="s">
        <v>27</v>
      </c>
      <c r="G22" t="s">
        <v>28</v>
      </c>
      <c r="H22">
        <v>0.94463018064165782</v>
      </c>
      <c r="I22" t="s">
        <v>153</v>
      </c>
      <c r="J22">
        <v>36</v>
      </c>
      <c r="K22">
        <v>4</v>
      </c>
      <c r="L22">
        <v>-3.84</v>
      </c>
      <c r="M22">
        <v>3.84</v>
      </c>
    </row>
    <row r="23" spans="1:13" x14ac:dyDescent="0.35">
      <c r="A23" t="s">
        <v>53</v>
      </c>
      <c r="B23">
        <v>117</v>
      </c>
      <c r="C23" t="s">
        <v>18</v>
      </c>
      <c r="E23" t="s">
        <v>19</v>
      </c>
      <c r="F23" t="s">
        <v>20</v>
      </c>
      <c r="G23" t="s">
        <v>21</v>
      </c>
      <c r="H23">
        <v>0.93578133841684419</v>
      </c>
      <c r="I23" t="s">
        <v>153</v>
      </c>
      <c r="J23">
        <v>36</v>
      </c>
      <c r="K23">
        <v>4</v>
      </c>
      <c r="L23">
        <v>-3.84</v>
      </c>
      <c r="M23">
        <v>3.84</v>
      </c>
    </row>
    <row r="24" spans="1:13" x14ac:dyDescent="0.35">
      <c r="A24" t="s">
        <v>38</v>
      </c>
      <c r="B24">
        <v>741</v>
      </c>
      <c r="C24" t="s">
        <v>45</v>
      </c>
      <c r="D24" t="s">
        <v>46</v>
      </c>
      <c r="E24" t="s">
        <v>47</v>
      </c>
      <c r="F24" t="s">
        <v>48</v>
      </c>
      <c r="G24" t="s">
        <v>49</v>
      </c>
      <c r="H24">
        <v>0.93368287752920165</v>
      </c>
      <c r="I24" t="s">
        <v>153</v>
      </c>
      <c r="J24">
        <v>36</v>
      </c>
      <c r="K24">
        <v>4</v>
      </c>
      <c r="L24">
        <v>-3.84</v>
      </c>
      <c r="M24">
        <v>3.84</v>
      </c>
    </row>
    <row r="25" spans="1:13" x14ac:dyDescent="0.35">
      <c r="A25" t="s">
        <v>54</v>
      </c>
      <c r="B25">
        <v>117</v>
      </c>
      <c r="C25" t="s">
        <v>18</v>
      </c>
      <c r="E25" t="s">
        <v>19</v>
      </c>
      <c r="F25" t="s">
        <v>20</v>
      </c>
      <c r="G25" t="s">
        <v>21</v>
      </c>
      <c r="H25">
        <v>0.92894418155701475</v>
      </c>
      <c r="I25" t="s">
        <v>153</v>
      </c>
      <c r="J25">
        <v>36</v>
      </c>
      <c r="K25">
        <v>4</v>
      </c>
      <c r="L25">
        <v>-3.84</v>
      </c>
      <c r="M25">
        <v>3.84</v>
      </c>
    </row>
    <row r="26" spans="1:13" x14ac:dyDescent="0.35">
      <c r="A26" t="s">
        <v>55</v>
      </c>
      <c r="B26">
        <v>116</v>
      </c>
      <c r="C26" t="s">
        <v>18</v>
      </c>
      <c r="E26" t="s">
        <v>26</v>
      </c>
      <c r="F26" t="s">
        <v>27</v>
      </c>
      <c r="G26" t="s">
        <v>28</v>
      </c>
      <c r="H26">
        <v>0.92842471813381244</v>
      </c>
      <c r="I26" t="s">
        <v>153</v>
      </c>
      <c r="J26">
        <v>36</v>
      </c>
      <c r="K26">
        <v>4</v>
      </c>
      <c r="L26">
        <v>-3.84</v>
      </c>
      <c r="M26">
        <v>3.84</v>
      </c>
    </row>
    <row r="27" spans="1:13" x14ac:dyDescent="0.35">
      <c r="A27" t="s">
        <v>57</v>
      </c>
      <c r="B27">
        <v>724</v>
      </c>
      <c r="C27" t="s">
        <v>45</v>
      </c>
      <c r="D27" t="s">
        <v>58</v>
      </c>
      <c r="E27" t="s">
        <v>50</v>
      </c>
      <c r="F27" t="s">
        <v>59</v>
      </c>
      <c r="G27" t="s">
        <v>60</v>
      </c>
      <c r="H27">
        <v>0.91715515969419359</v>
      </c>
      <c r="I27" t="s">
        <v>153</v>
      </c>
      <c r="J27">
        <v>36</v>
      </c>
      <c r="K27">
        <v>4</v>
      </c>
      <c r="L27">
        <v>-3.84</v>
      </c>
      <c r="M27">
        <v>3.84</v>
      </c>
    </row>
    <row r="28" spans="1:13" x14ac:dyDescent="0.35">
      <c r="A28" t="s">
        <v>38</v>
      </c>
      <c r="B28">
        <v>117</v>
      </c>
      <c r="C28" t="s">
        <v>18</v>
      </c>
      <c r="E28" t="s">
        <v>19</v>
      </c>
      <c r="F28" t="s">
        <v>20</v>
      </c>
      <c r="G28" t="s">
        <v>21</v>
      </c>
      <c r="H28">
        <v>0.91231865266539325</v>
      </c>
      <c r="I28" t="s">
        <v>153</v>
      </c>
      <c r="J28">
        <v>36</v>
      </c>
      <c r="K28">
        <v>4</v>
      </c>
      <c r="L28">
        <v>-3.84</v>
      </c>
      <c r="M28">
        <v>3.84</v>
      </c>
    </row>
    <row r="29" spans="1:13" x14ac:dyDescent="0.35">
      <c r="A29" t="s">
        <v>55</v>
      </c>
      <c r="B29">
        <v>117</v>
      </c>
      <c r="C29" t="s">
        <v>18</v>
      </c>
      <c r="E29" t="s">
        <v>19</v>
      </c>
      <c r="F29" t="s">
        <v>20</v>
      </c>
      <c r="G29" t="s">
        <v>21</v>
      </c>
      <c r="H29">
        <v>0.91102574755246279</v>
      </c>
      <c r="I29" t="s">
        <v>153</v>
      </c>
      <c r="J29">
        <v>36</v>
      </c>
      <c r="K29">
        <v>4</v>
      </c>
      <c r="L29">
        <v>-3.84</v>
      </c>
      <c r="M29">
        <v>3.84</v>
      </c>
    </row>
    <row r="30" spans="1:13" x14ac:dyDescent="0.35">
      <c r="A30" t="s">
        <v>38</v>
      </c>
      <c r="B30">
        <v>737</v>
      </c>
      <c r="C30" t="s">
        <v>45</v>
      </c>
      <c r="D30" t="s">
        <v>58</v>
      </c>
      <c r="E30" t="s">
        <v>47</v>
      </c>
      <c r="F30" t="s">
        <v>61</v>
      </c>
      <c r="G30" t="s">
        <v>62</v>
      </c>
      <c r="H30">
        <v>0.90754091278993521</v>
      </c>
      <c r="I30" t="s">
        <v>153</v>
      </c>
      <c r="J30">
        <v>36</v>
      </c>
      <c r="K30">
        <v>4</v>
      </c>
      <c r="L30">
        <v>-3.84</v>
      </c>
      <c r="M30">
        <v>3.84</v>
      </c>
    </row>
    <row r="31" spans="1:13" x14ac:dyDescent="0.35">
      <c r="A31" t="s">
        <v>30</v>
      </c>
      <c r="B31">
        <v>741</v>
      </c>
      <c r="C31" t="s">
        <v>45</v>
      </c>
      <c r="D31" t="s">
        <v>46</v>
      </c>
      <c r="E31" t="s">
        <v>47</v>
      </c>
      <c r="F31" t="s">
        <v>48</v>
      </c>
      <c r="G31" t="s">
        <v>49</v>
      </c>
      <c r="H31">
        <v>0.90493499867771676</v>
      </c>
      <c r="I31" t="s">
        <v>153</v>
      </c>
      <c r="J31">
        <v>36</v>
      </c>
      <c r="K31">
        <v>4</v>
      </c>
      <c r="L31">
        <v>-3.84</v>
      </c>
      <c r="M31">
        <v>3.84</v>
      </c>
    </row>
    <row r="32" spans="1:13" x14ac:dyDescent="0.35">
      <c r="A32" t="s">
        <v>63</v>
      </c>
      <c r="B32">
        <v>741</v>
      </c>
      <c r="C32" t="s">
        <v>45</v>
      </c>
      <c r="D32" t="s">
        <v>46</v>
      </c>
      <c r="E32" t="s">
        <v>47</v>
      </c>
      <c r="F32" t="s">
        <v>48</v>
      </c>
      <c r="G32" t="s">
        <v>49</v>
      </c>
      <c r="H32">
        <v>0.90386988411449043</v>
      </c>
      <c r="I32" t="s">
        <v>153</v>
      </c>
      <c r="J32">
        <v>36</v>
      </c>
      <c r="K32">
        <v>4</v>
      </c>
      <c r="L32">
        <v>-3.84</v>
      </c>
      <c r="M32">
        <v>3.84</v>
      </c>
    </row>
    <row r="33" spans="1:13" x14ac:dyDescent="0.35">
      <c r="A33" t="s">
        <v>42</v>
      </c>
      <c r="B33">
        <v>724</v>
      </c>
      <c r="C33" t="s">
        <v>45</v>
      </c>
      <c r="D33" t="s">
        <v>58</v>
      </c>
      <c r="E33" t="s">
        <v>50</v>
      </c>
      <c r="F33" t="s">
        <v>59</v>
      </c>
      <c r="G33" t="s">
        <v>60</v>
      </c>
      <c r="H33">
        <v>0.8972992116648425</v>
      </c>
      <c r="I33" t="s">
        <v>154</v>
      </c>
      <c r="J33">
        <v>36</v>
      </c>
      <c r="K33">
        <v>4</v>
      </c>
      <c r="L33">
        <v>-3.84</v>
      </c>
      <c r="M33">
        <v>3.84</v>
      </c>
    </row>
    <row r="34" spans="1:13" x14ac:dyDescent="0.35">
      <c r="A34" t="s">
        <v>53</v>
      </c>
      <c r="B34">
        <v>116</v>
      </c>
      <c r="C34" t="s">
        <v>18</v>
      </c>
      <c r="E34" t="s">
        <v>26</v>
      </c>
      <c r="F34" t="s">
        <v>27</v>
      </c>
      <c r="G34" t="s">
        <v>28</v>
      </c>
      <c r="H34">
        <v>0.89524380103879475</v>
      </c>
      <c r="I34" t="s">
        <v>154</v>
      </c>
      <c r="J34">
        <v>36</v>
      </c>
      <c r="K34">
        <v>4</v>
      </c>
      <c r="L34">
        <v>-3.84</v>
      </c>
      <c r="M34">
        <v>3.84</v>
      </c>
    </row>
    <row r="35" spans="1:13" x14ac:dyDescent="0.35">
      <c r="A35" t="s">
        <v>35</v>
      </c>
      <c r="B35">
        <v>741</v>
      </c>
      <c r="C35" t="s">
        <v>45</v>
      </c>
      <c r="D35" t="s">
        <v>46</v>
      </c>
      <c r="E35" t="s">
        <v>47</v>
      </c>
      <c r="F35" t="s">
        <v>48</v>
      </c>
      <c r="G35" t="s">
        <v>49</v>
      </c>
      <c r="H35">
        <v>0.89485381534694397</v>
      </c>
      <c r="I35" t="s">
        <v>154</v>
      </c>
      <c r="J35">
        <v>36</v>
      </c>
      <c r="K35">
        <v>4</v>
      </c>
      <c r="L35">
        <v>-3.84</v>
      </c>
      <c r="M35">
        <v>3.84</v>
      </c>
    </row>
    <row r="36" spans="1:13" x14ac:dyDescent="0.35">
      <c r="A36" t="s">
        <v>40</v>
      </c>
      <c r="B36">
        <v>737</v>
      </c>
      <c r="C36" t="s">
        <v>45</v>
      </c>
      <c r="D36" t="s">
        <v>58</v>
      </c>
      <c r="E36" t="s">
        <v>47</v>
      </c>
      <c r="F36" t="s">
        <v>61</v>
      </c>
      <c r="G36" t="s">
        <v>62</v>
      </c>
      <c r="H36">
        <v>0.89203668087566357</v>
      </c>
      <c r="I36" t="s">
        <v>154</v>
      </c>
      <c r="J36">
        <v>36</v>
      </c>
      <c r="K36">
        <v>4</v>
      </c>
      <c r="L36">
        <v>-3.84</v>
      </c>
      <c r="M36">
        <v>3.84</v>
      </c>
    </row>
    <row r="37" spans="1:13" x14ac:dyDescent="0.35">
      <c r="A37" t="s">
        <v>65</v>
      </c>
      <c r="B37">
        <v>729</v>
      </c>
      <c r="C37" t="s">
        <v>45</v>
      </c>
      <c r="D37" t="s">
        <v>46</v>
      </c>
      <c r="E37" t="s">
        <v>50</v>
      </c>
      <c r="F37" t="s">
        <v>51</v>
      </c>
      <c r="G37" t="s">
        <v>52</v>
      </c>
      <c r="H37">
        <v>0.88666133438496209</v>
      </c>
      <c r="I37" t="s">
        <v>154</v>
      </c>
      <c r="J37">
        <v>36</v>
      </c>
      <c r="K37">
        <v>4</v>
      </c>
      <c r="L37">
        <v>-3.84</v>
      </c>
      <c r="M37">
        <v>3.84</v>
      </c>
    </row>
    <row r="38" spans="1:13" x14ac:dyDescent="0.35">
      <c r="A38" t="s">
        <v>42</v>
      </c>
      <c r="B38">
        <v>117</v>
      </c>
      <c r="C38" t="s">
        <v>18</v>
      </c>
      <c r="E38" t="s">
        <v>19</v>
      </c>
      <c r="F38" t="s">
        <v>20</v>
      </c>
      <c r="G38" t="s">
        <v>21</v>
      </c>
      <c r="H38">
        <v>0.88660492380457079</v>
      </c>
      <c r="I38" t="s">
        <v>154</v>
      </c>
      <c r="J38">
        <v>36</v>
      </c>
      <c r="K38">
        <v>4</v>
      </c>
      <c r="L38">
        <v>-3.84</v>
      </c>
      <c r="M38">
        <v>3.84</v>
      </c>
    </row>
    <row r="39" spans="1:13" x14ac:dyDescent="0.35">
      <c r="A39" t="s">
        <v>66</v>
      </c>
      <c r="B39">
        <v>737</v>
      </c>
      <c r="C39" t="s">
        <v>45</v>
      </c>
      <c r="D39" t="s">
        <v>58</v>
      </c>
      <c r="E39" t="s">
        <v>47</v>
      </c>
      <c r="F39" t="s">
        <v>61</v>
      </c>
      <c r="G39" t="s">
        <v>62</v>
      </c>
      <c r="H39">
        <v>0.88430380827686039</v>
      </c>
      <c r="I39" t="s">
        <v>154</v>
      </c>
      <c r="J39">
        <v>36</v>
      </c>
      <c r="K39">
        <v>4</v>
      </c>
      <c r="L39">
        <v>-3.84</v>
      </c>
      <c r="M39">
        <v>3.84</v>
      </c>
    </row>
    <row r="40" spans="1:13" x14ac:dyDescent="0.35">
      <c r="A40" t="s">
        <v>54</v>
      </c>
      <c r="B40">
        <v>116</v>
      </c>
      <c r="C40" t="s">
        <v>18</v>
      </c>
      <c r="E40" t="s">
        <v>26</v>
      </c>
      <c r="F40" t="s">
        <v>27</v>
      </c>
      <c r="G40" t="s">
        <v>28</v>
      </c>
      <c r="H40">
        <v>0.88312801360791626</v>
      </c>
      <c r="I40" t="s">
        <v>154</v>
      </c>
      <c r="J40">
        <v>36</v>
      </c>
      <c r="K40">
        <v>4</v>
      </c>
      <c r="L40">
        <v>-3.84</v>
      </c>
      <c r="M40">
        <v>3.84</v>
      </c>
    </row>
    <row r="41" spans="1:13" x14ac:dyDescent="0.35">
      <c r="A41" t="s">
        <v>67</v>
      </c>
      <c r="B41">
        <v>741</v>
      </c>
      <c r="C41" t="s">
        <v>45</v>
      </c>
      <c r="D41" t="s">
        <v>46</v>
      </c>
      <c r="E41" t="s">
        <v>47</v>
      </c>
      <c r="F41" t="s">
        <v>48</v>
      </c>
      <c r="G41" t="s">
        <v>49</v>
      </c>
      <c r="H41">
        <v>0.88244146699421877</v>
      </c>
      <c r="I41" t="s">
        <v>154</v>
      </c>
      <c r="J41">
        <v>36</v>
      </c>
      <c r="K41">
        <v>4</v>
      </c>
      <c r="L41">
        <v>-3.84</v>
      </c>
      <c r="M41">
        <v>3.84</v>
      </c>
    </row>
    <row r="42" spans="1:13" x14ac:dyDescent="0.35">
      <c r="A42" t="s">
        <v>35</v>
      </c>
      <c r="B42">
        <v>117</v>
      </c>
      <c r="C42" t="s">
        <v>18</v>
      </c>
      <c r="E42" t="s">
        <v>19</v>
      </c>
      <c r="F42" t="s">
        <v>20</v>
      </c>
      <c r="G42" t="s">
        <v>21</v>
      </c>
      <c r="H42">
        <v>0.87944913846303741</v>
      </c>
      <c r="I42" t="s">
        <v>154</v>
      </c>
      <c r="J42">
        <v>36</v>
      </c>
      <c r="K42">
        <v>4</v>
      </c>
      <c r="L42">
        <v>-3.84</v>
      </c>
      <c r="M42">
        <v>3.84</v>
      </c>
    </row>
    <row r="43" spans="1:13" x14ac:dyDescent="0.35">
      <c r="A43" t="s">
        <v>68</v>
      </c>
      <c r="B43">
        <v>741</v>
      </c>
      <c r="C43" t="s">
        <v>45</v>
      </c>
      <c r="D43" t="s">
        <v>46</v>
      </c>
      <c r="E43" t="s">
        <v>47</v>
      </c>
      <c r="F43" t="s">
        <v>48</v>
      </c>
      <c r="G43" t="s">
        <v>49</v>
      </c>
      <c r="H43">
        <v>0.87646846935620182</v>
      </c>
      <c r="I43" t="s">
        <v>154</v>
      </c>
      <c r="J43">
        <v>36</v>
      </c>
      <c r="K43">
        <v>4</v>
      </c>
      <c r="L43">
        <v>-3.84</v>
      </c>
      <c r="M43">
        <v>3.84</v>
      </c>
    </row>
    <row r="44" spans="1:13" x14ac:dyDescent="0.35">
      <c r="A44" t="s">
        <v>69</v>
      </c>
      <c r="B44">
        <v>741</v>
      </c>
      <c r="C44" t="s">
        <v>45</v>
      </c>
      <c r="D44" t="s">
        <v>46</v>
      </c>
      <c r="E44" t="s">
        <v>47</v>
      </c>
      <c r="F44" t="s">
        <v>48</v>
      </c>
      <c r="G44" t="s">
        <v>49</v>
      </c>
      <c r="H44">
        <v>0.8755072260636475</v>
      </c>
      <c r="I44" t="s">
        <v>154</v>
      </c>
      <c r="J44">
        <v>36</v>
      </c>
      <c r="K44">
        <v>4</v>
      </c>
      <c r="L44">
        <v>-3.84</v>
      </c>
      <c r="M44">
        <v>3.84</v>
      </c>
    </row>
    <row r="45" spans="1:13" x14ac:dyDescent="0.35">
      <c r="A45" t="s">
        <v>23</v>
      </c>
      <c r="B45">
        <v>729</v>
      </c>
      <c r="C45" t="s">
        <v>45</v>
      </c>
      <c r="D45" t="s">
        <v>46</v>
      </c>
      <c r="E45" t="s">
        <v>50</v>
      </c>
      <c r="F45" t="s">
        <v>51</v>
      </c>
      <c r="G45" t="s">
        <v>52</v>
      </c>
      <c r="H45">
        <v>0.87510830729986266</v>
      </c>
      <c r="I45" t="s">
        <v>154</v>
      </c>
      <c r="J45">
        <v>36</v>
      </c>
      <c r="K45">
        <v>4</v>
      </c>
      <c r="L45">
        <v>-3.84</v>
      </c>
      <c r="M45">
        <v>3.84</v>
      </c>
    </row>
    <row r="46" spans="1:13" x14ac:dyDescent="0.35">
      <c r="A46" t="s">
        <v>70</v>
      </c>
      <c r="B46">
        <v>737</v>
      </c>
      <c r="C46" t="s">
        <v>45</v>
      </c>
      <c r="D46" t="s">
        <v>58</v>
      </c>
      <c r="E46" t="s">
        <v>47</v>
      </c>
      <c r="F46" t="s">
        <v>61</v>
      </c>
      <c r="G46" t="s">
        <v>62</v>
      </c>
      <c r="H46">
        <v>0.87393328039137919</v>
      </c>
      <c r="I46" t="s">
        <v>154</v>
      </c>
      <c r="J46">
        <v>36</v>
      </c>
      <c r="K46">
        <v>4</v>
      </c>
      <c r="L46">
        <v>-3.84</v>
      </c>
      <c r="M46">
        <v>3.84</v>
      </c>
    </row>
    <row r="47" spans="1:13" x14ac:dyDescent="0.35">
      <c r="A47" t="s">
        <v>69</v>
      </c>
      <c r="B47">
        <v>729</v>
      </c>
      <c r="C47" t="s">
        <v>45</v>
      </c>
      <c r="D47" t="s">
        <v>46</v>
      </c>
      <c r="E47" t="s">
        <v>50</v>
      </c>
      <c r="F47" t="s">
        <v>51</v>
      </c>
      <c r="G47" t="s">
        <v>52</v>
      </c>
      <c r="H47">
        <v>0.86687090633813491</v>
      </c>
      <c r="I47" t="s">
        <v>154</v>
      </c>
      <c r="J47">
        <v>36</v>
      </c>
      <c r="K47">
        <v>4</v>
      </c>
      <c r="L47">
        <v>-3.84</v>
      </c>
      <c r="M47">
        <v>3.84</v>
      </c>
    </row>
    <row r="48" spans="1:13" x14ac:dyDescent="0.35">
      <c r="A48" t="s">
        <v>71</v>
      </c>
      <c r="B48">
        <v>116</v>
      </c>
      <c r="C48" t="s">
        <v>18</v>
      </c>
      <c r="E48" t="s">
        <v>26</v>
      </c>
      <c r="F48" t="s">
        <v>27</v>
      </c>
      <c r="G48" t="s">
        <v>28</v>
      </c>
      <c r="H48">
        <v>0.86578697946686245</v>
      </c>
      <c r="I48" t="s">
        <v>154</v>
      </c>
      <c r="J48">
        <v>36</v>
      </c>
      <c r="K48">
        <v>4</v>
      </c>
      <c r="L48">
        <v>-3.84</v>
      </c>
      <c r="M48">
        <v>3.84</v>
      </c>
    </row>
    <row r="49" spans="1:13" x14ac:dyDescent="0.35">
      <c r="A49" t="s">
        <v>73</v>
      </c>
      <c r="B49">
        <v>741</v>
      </c>
      <c r="C49" t="s">
        <v>45</v>
      </c>
      <c r="D49" t="s">
        <v>46</v>
      </c>
      <c r="E49" t="s">
        <v>47</v>
      </c>
      <c r="F49" t="s">
        <v>48</v>
      </c>
      <c r="G49" t="s">
        <v>49</v>
      </c>
      <c r="H49">
        <v>0.86402862819619541</v>
      </c>
      <c r="I49" t="s">
        <v>154</v>
      </c>
      <c r="J49">
        <v>36</v>
      </c>
      <c r="K49">
        <v>4</v>
      </c>
      <c r="L49">
        <v>-3.84</v>
      </c>
      <c r="M49">
        <v>3.84</v>
      </c>
    </row>
    <row r="50" spans="1:13" x14ac:dyDescent="0.35">
      <c r="A50" t="s">
        <v>75</v>
      </c>
      <c r="B50">
        <v>729</v>
      </c>
      <c r="C50" t="s">
        <v>45</v>
      </c>
      <c r="D50" t="s">
        <v>46</v>
      </c>
      <c r="E50" t="s">
        <v>50</v>
      </c>
      <c r="F50" t="s">
        <v>51</v>
      </c>
      <c r="G50" t="s">
        <v>52</v>
      </c>
      <c r="H50">
        <v>0.86102304389557349</v>
      </c>
      <c r="I50" t="s">
        <v>154</v>
      </c>
      <c r="J50">
        <v>36</v>
      </c>
      <c r="K50">
        <v>4</v>
      </c>
      <c r="L50">
        <v>-3.84</v>
      </c>
      <c r="M50">
        <v>3.84</v>
      </c>
    </row>
    <row r="51" spans="1:13" x14ac:dyDescent="0.35">
      <c r="A51" t="s">
        <v>77</v>
      </c>
      <c r="B51">
        <v>724</v>
      </c>
      <c r="C51" t="s">
        <v>45</v>
      </c>
      <c r="D51" t="s">
        <v>58</v>
      </c>
      <c r="E51" t="s">
        <v>50</v>
      </c>
      <c r="F51" t="s">
        <v>59</v>
      </c>
      <c r="G51" t="s">
        <v>60</v>
      </c>
      <c r="H51">
        <v>0.8609218201844564</v>
      </c>
      <c r="I51" t="s">
        <v>154</v>
      </c>
      <c r="J51">
        <v>36</v>
      </c>
      <c r="K51">
        <v>4</v>
      </c>
      <c r="L51">
        <v>-3.84</v>
      </c>
      <c r="M51">
        <v>3.84</v>
      </c>
    </row>
    <row r="52" spans="1:13" x14ac:dyDescent="0.35">
      <c r="A52" t="s">
        <v>78</v>
      </c>
      <c r="B52">
        <v>729</v>
      </c>
      <c r="C52" t="s">
        <v>45</v>
      </c>
      <c r="D52" t="s">
        <v>46</v>
      </c>
      <c r="E52" t="s">
        <v>50</v>
      </c>
      <c r="F52" t="s">
        <v>51</v>
      </c>
      <c r="G52" t="s">
        <v>52</v>
      </c>
      <c r="H52">
        <v>0.86069668679985745</v>
      </c>
      <c r="I52" t="s">
        <v>154</v>
      </c>
      <c r="J52">
        <v>36</v>
      </c>
      <c r="K52">
        <v>4</v>
      </c>
      <c r="L52">
        <v>-3.84</v>
      </c>
      <c r="M52">
        <v>3.84</v>
      </c>
    </row>
    <row r="53" spans="1:13" x14ac:dyDescent="0.35">
      <c r="A53" t="s">
        <v>63</v>
      </c>
      <c r="B53">
        <v>729</v>
      </c>
      <c r="C53" t="s">
        <v>45</v>
      </c>
      <c r="D53" t="s">
        <v>46</v>
      </c>
      <c r="E53" t="s">
        <v>50</v>
      </c>
      <c r="F53" t="s">
        <v>51</v>
      </c>
      <c r="G53" t="s">
        <v>52</v>
      </c>
      <c r="H53">
        <v>0.86038325340743171</v>
      </c>
      <c r="I53" t="s">
        <v>154</v>
      </c>
      <c r="J53">
        <v>36</v>
      </c>
      <c r="K53">
        <v>4</v>
      </c>
      <c r="L53">
        <v>-3.84</v>
      </c>
      <c r="M53">
        <v>3.84</v>
      </c>
    </row>
    <row r="54" spans="1:13" x14ac:dyDescent="0.35">
      <c r="A54" t="s">
        <v>40</v>
      </c>
      <c r="B54">
        <v>729</v>
      </c>
      <c r="C54" t="s">
        <v>45</v>
      </c>
      <c r="D54" t="s">
        <v>46</v>
      </c>
      <c r="E54" t="s">
        <v>50</v>
      </c>
      <c r="F54" t="s">
        <v>51</v>
      </c>
      <c r="G54" t="s">
        <v>52</v>
      </c>
      <c r="H54">
        <v>0.85920456398419509</v>
      </c>
      <c r="I54" t="s">
        <v>154</v>
      </c>
      <c r="J54">
        <v>36</v>
      </c>
      <c r="K54">
        <v>4</v>
      </c>
      <c r="L54">
        <v>-3.84</v>
      </c>
      <c r="M54">
        <v>3.84</v>
      </c>
    </row>
    <row r="55" spans="1:13" x14ac:dyDescent="0.35">
      <c r="A55" t="s">
        <v>40</v>
      </c>
      <c r="B55">
        <v>741</v>
      </c>
      <c r="C55" t="s">
        <v>45</v>
      </c>
      <c r="D55" t="s">
        <v>46</v>
      </c>
      <c r="E55" t="s">
        <v>47</v>
      </c>
      <c r="F55" t="s">
        <v>48</v>
      </c>
      <c r="G55" t="s">
        <v>49</v>
      </c>
      <c r="H55">
        <v>0.85165835982205162</v>
      </c>
      <c r="I55" t="s">
        <v>154</v>
      </c>
      <c r="J55">
        <v>36</v>
      </c>
      <c r="K55">
        <v>4</v>
      </c>
      <c r="L55">
        <v>-3.84</v>
      </c>
      <c r="M55">
        <v>3.84</v>
      </c>
    </row>
    <row r="56" spans="1:13" x14ac:dyDescent="0.35">
      <c r="A56" t="s">
        <v>79</v>
      </c>
      <c r="B56">
        <v>741</v>
      </c>
      <c r="C56" t="s">
        <v>45</v>
      </c>
      <c r="D56" t="s">
        <v>46</v>
      </c>
      <c r="E56" t="s">
        <v>47</v>
      </c>
      <c r="F56" t="s">
        <v>48</v>
      </c>
      <c r="G56" t="s">
        <v>49</v>
      </c>
      <c r="H56">
        <v>0.85155026799044575</v>
      </c>
      <c r="I56" t="s">
        <v>154</v>
      </c>
      <c r="J56">
        <v>36</v>
      </c>
      <c r="K56">
        <v>4</v>
      </c>
      <c r="L56">
        <v>-3.84</v>
      </c>
      <c r="M56">
        <v>3.84</v>
      </c>
    </row>
    <row r="57" spans="1:13" x14ac:dyDescent="0.35">
      <c r="A57" t="s">
        <v>42</v>
      </c>
      <c r="B57">
        <v>729</v>
      </c>
      <c r="C57" t="s">
        <v>45</v>
      </c>
      <c r="D57" t="s">
        <v>46</v>
      </c>
      <c r="E57" t="s">
        <v>50</v>
      </c>
      <c r="F57" t="s">
        <v>51</v>
      </c>
      <c r="G57" t="s">
        <v>52</v>
      </c>
      <c r="H57">
        <v>0.85125559258869787</v>
      </c>
      <c r="I57" t="s">
        <v>154</v>
      </c>
      <c r="J57">
        <v>36</v>
      </c>
      <c r="K57">
        <v>4</v>
      </c>
      <c r="L57">
        <v>-3.84</v>
      </c>
      <c r="M57">
        <v>3.84</v>
      </c>
    </row>
    <row r="58" spans="1:13" x14ac:dyDescent="0.35">
      <c r="A58" t="s">
        <v>44</v>
      </c>
      <c r="B58">
        <v>116</v>
      </c>
      <c r="C58" t="s">
        <v>18</v>
      </c>
      <c r="E58" t="s">
        <v>26</v>
      </c>
      <c r="F58" t="s">
        <v>27</v>
      </c>
      <c r="G58" t="s">
        <v>28</v>
      </c>
      <c r="H58">
        <v>0.84805719757330411</v>
      </c>
      <c r="I58" t="s">
        <v>154</v>
      </c>
      <c r="J58">
        <v>36</v>
      </c>
      <c r="K58">
        <v>4</v>
      </c>
      <c r="L58">
        <v>-3.84</v>
      </c>
      <c r="M58">
        <v>3.84</v>
      </c>
    </row>
    <row r="59" spans="1:13" x14ac:dyDescent="0.35">
      <c r="A59" t="s">
        <v>75</v>
      </c>
      <c r="B59">
        <v>741</v>
      </c>
      <c r="C59" t="s">
        <v>45</v>
      </c>
      <c r="D59" t="s">
        <v>46</v>
      </c>
      <c r="E59" t="s">
        <v>47</v>
      </c>
      <c r="F59" t="s">
        <v>48</v>
      </c>
      <c r="G59" t="s">
        <v>49</v>
      </c>
      <c r="H59">
        <v>0.84390742113749373</v>
      </c>
      <c r="I59" t="s">
        <v>154</v>
      </c>
      <c r="J59">
        <v>36</v>
      </c>
      <c r="K59">
        <v>4</v>
      </c>
      <c r="L59">
        <v>-3.84</v>
      </c>
      <c r="M59">
        <v>3.84</v>
      </c>
    </row>
    <row r="60" spans="1:13" x14ac:dyDescent="0.35">
      <c r="A60" t="s">
        <v>44</v>
      </c>
      <c r="B60">
        <v>117</v>
      </c>
      <c r="C60" t="s">
        <v>18</v>
      </c>
      <c r="E60" t="s">
        <v>19</v>
      </c>
      <c r="F60" t="s">
        <v>20</v>
      </c>
      <c r="G60" t="s">
        <v>21</v>
      </c>
      <c r="H60">
        <v>0.84374864627114732</v>
      </c>
      <c r="I60" t="s">
        <v>154</v>
      </c>
      <c r="J60">
        <v>36</v>
      </c>
      <c r="K60">
        <v>4</v>
      </c>
      <c r="L60">
        <v>-3.84</v>
      </c>
      <c r="M60">
        <v>3.84</v>
      </c>
    </row>
    <row r="61" spans="1:13" x14ac:dyDescent="0.35">
      <c r="A61" t="s">
        <v>80</v>
      </c>
      <c r="B61">
        <v>724</v>
      </c>
      <c r="C61" t="s">
        <v>45</v>
      </c>
      <c r="D61" t="s">
        <v>58</v>
      </c>
      <c r="E61" t="s">
        <v>50</v>
      </c>
      <c r="F61" t="s">
        <v>59</v>
      </c>
      <c r="G61" t="s">
        <v>60</v>
      </c>
      <c r="H61">
        <v>0.84183857664033146</v>
      </c>
      <c r="I61" t="s">
        <v>154</v>
      </c>
      <c r="J61">
        <v>36</v>
      </c>
      <c r="K61">
        <v>4</v>
      </c>
      <c r="L61">
        <v>-3.84</v>
      </c>
      <c r="M61">
        <v>3.84</v>
      </c>
    </row>
    <row r="62" spans="1:13" x14ac:dyDescent="0.35">
      <c r="A62" t="s">
        <v>78</v>
      </c>
      <c r="B62">
        <v>117</v>
      </c>
      <c r="C62" t="s">
        <v>18</v>
      </c>
      <c r="E62" t="s">
        <v>19</v>
      </c>
      <c r="F62" t="s">
        <v>20</v>
      </c>
      <c r="G62" t="s">
        <v>21</v>
      </c>
      <c r="H62">
        <v>0.83354736066123403</v>
      </c>
      <c r="I62" t="s">
        <v>154</v>
      </c>
      <c r="J62">
        <v>36</v>
      </c>
      <c r="K62">
        <v>4</v>
      </c>
      <c r="L62">
        <v>-3.84</v>
      </c>
      <c r="M62">
        <v>3.84</v>
      </c>
    </row>
    <row r="63" spans="1:13" x14ac:dyDescent="0.35">
      <c r="A63" t="s">
        <v>25</v>
      </c>
      <c r="B63">
        <v>729</v>
      </c>
      <c r="C63" t="s">
        <v>45</v>
      </c>
      <c r="D63" t="s">
        <v>46</v>
      </c>
      <c r="E63" t="s">
        <v>50</v>
      </c>
      <c r="F63" t="s">
        <v>51</v>
      </c>
      <c r="G63" t="s">
        <v>52</v>
      </c>
      <c r="H63">
        <v>0.83230909887843574</v>
      </c>
      <c r="I63" t="s">
        <v>154</v>
      </c>
      <c r="J63">
        <v>36</v>
      </c>
      <c r="K63">
        <v>4</v>
      </c>
      <c r="L63">
        <v>-3.84</v>
      </c>
      <c r="M63">
        <v>3.84</v>
      </c>
    </row>
    <row r="64" spans="1:13" x14ac:dyDescent="0.35">
      <c r="A64" t="s">
        <v>80</v>
      </c>
      <c r="B64">
        <v>737</v>
      </c>
      <c r="C64" t="s">
        <v>45</v>
      </c>
      <c r="D64" t="s">
        <v>58</v>
      </c>
      <c r="E64" t="s">
        <v>47</v>
      </c>
      <c r="F64" t="s">
        <v>61</v>
      </c>
      <c r="G64" t="s">
        <v>62</v>
      </c>
      <c r="H64">
        <v>0.83158050824471841</v>
      </c>
      <c r="I64" t="s">
        <v>154</v>
      </c>
      <c r="J64">
        <v>36</v>
      </c>
      <c r="K64">
        <v>4</v>
      </c>
      <c r="L64">
        <v>-3.84</v>
      </c>
      <c r="M64">
        <v>3.84</v>
      </c>
    </row>
    <row r="65" spans="1:13" x14ac:dyDescent="0.35">
      <c r="A65" t="s">
        <v>81</v>
      </c>
      <c r="B65">
        <v>117</v>
      </c>
      <c r="C65" t="s">
        <v>18</v>
      </c>
      <c r="E65" t="s">
        <v>19</v>
      </c>
      <c r="F65" t="s">
        <v>20</v>
      </c>
      <c r="G65" t="s">
        <v>21</v>
      </c>
      <c r="H65">
        <v>0.83142462848189636</v>
      </c>
      <c r="I65" t="s">
        <v>154</v>
      </c>
      <c r="J65">
        <v>36</v>
      </c>
      <c r="K65">
        <v>4</v>
      </c>
      <c r="L65">
        <v>-3.84</v>
      </c>
      <c r="M65">
        <v>3.84</v>
      </c>
    </row>
    <row r="66" spans="1:13" x14ac:dyDescent="0.35">
      <c r="A66" t="s">
        <v>23</v>
      </c>
      <c r="B66">
        <v>741</v>
      </c>
      <c r="C66" t="s">
        <v>45</v>
      </c>
      <c r="D66" t="s">
        <v>46</v>
      </c>
      <c r="E66" t="s">
        <v>47</v>
      </c>
      <c r="F66" t="s">
        <v>48</v>
      </c>
      <c r="G66" t="s">
        <v>49</v>
      </c>
      <c r="H66">
        <v>0.83119566652136223</v>
      </c>
      <c r="I66" t="s">
        <v>154</v>
      </c>
      <c r="J66">
        <v>36</v>
      </c>
      <c r="K66">
        <v>4</v>
      </c>
      <c r="L66">
        <v>-3.84</v>
      </c>
      <c r="M66">
        <v>3.84</v>
      </c>
    </row>
    <row r="67" spans="1:13" x14ac:dyDescent="0.35">
      <c r="A67" t="s">
        <v>79</v>
      </c>
      <c r="B67">
        <v>117</v>
      </c>
      <c r="C67" t="s">
        <v>18</v>
      </c>
      <c r="E67" t="s">
        <v>19</v>
      </c>
      <c r="F67" t="s">
        <v>20</v>
      </c>
      <c r="G67" t="s">
        <v>21</v>
      </c>
      <c r="H67">
        <v>0.8305388360283622</v>
      </c>
      <c r="I67" t="s">
        <v>154</v>
      </c>
      <c r="J67">
        <v>36</v>
      </c>
      <c r="K67">
        <v>4</v>
      </c>
      <c r="L67">
        <v>-3.84</v>
      </c>
      <c r="M67">
        <v>3.84</v>
      </c>
    </row>
    <row r="68" spans="1:13" x14ac:dyDescent="0.35">
      <c r="A68" t="s">
        <v>42</v>
      </c>
      <c r="B68">
        <v>737</v>
      </c>
      <c r="C68" t="s">
        <v>45</v>
      </c>
      <c r="D68" t="s">
        <v>58</v>
      </c>
      <c r="E68" t="s">
        <v>47</v>
      </c>
      <c r="F68" t="s">
        <v>61</v>
      </c>
      <c r="G68" t="s">
        <v>62</v>
      </c>
      <c r="H68">
        <v>0.82774319189141998</v>
      </c>
      <c r="I68" t="s">
        <v>154</v>
      </c>
      <c r="J68">
        <v>36</v>
      </c>
      <c r="K68">
        <v>4</v>
      </c>
      <c r="L68">
        <v>-3.84</v>
      </c>
      <c r="M68">
        <v>3.84</v>
      </c>
    </row>
    <row r="69" spans="1:13" x14ac:dyDescent="0.35">
      <c r="A69" t="s">
        <v>35</v>
      </c>
      <c r="B69">
        <v>729</v>
      </c>
      <c r="C69" t="s">
        <v>45</v>
      </c>
      <c r="D69" t="s">
        <v>46</v>
      </c>
      <c r="E69" t="s">
        <v>50</v>
      </c>
      <c r="F69" t="s">
        <v>51</v>
      </c>
      <c r="G69" t="s">
        <v>52</v>
      </c>
      <c r="H69">
        <v>0.82639308706765624</v>
      </c>
      <c r="I69" t="s">
        <v>154</v>
      </c>
      <c r="J69">
        <v>36</v>
      </c>
      <c r="K69">
        <v>4</v>
      </c>
      <c r="L69">
        <v>-3.84</v>
      </c>
      <c r="M69">
        <v>3.84</v>
      </c>
    </row>
    <row r="70" spans="1:13" x14ac:dyDescent="0.35">
      <c r="A70" t="s">
        <v>82</v>
      </c>
      <c r="B70">
        <v>116</v>
      </c>
      <c r="C70" t="s">
        <v>18</v>
      </c>
      <c r="E70" t="s">
        <v>26</v>
      </c>
      <c r="F70" t="s">
        <v>27</v>
      </c>
      <c r="G70" t="s">
        <v>28</v>
      </c>
      <c r="H70">
        <v>0.82478905499582367</v>
      </c>
      <c r="I70" t="s">
        <v>154</v>
      </c>
      <c r="J70">
        <v>36</v>
      </c>
      <c r="K70">
        <v>4</v>
      </c>
      <c r="L70">
        <v>-3.84</v>
      </c>
      <c r="M70">
        <v>3.84</v>
      </c>
    </row>
    <row r="71" spans="1:13" x14ac:dyDescent="0.35">
      <c r="A71" t="s">
        <v>84</v>
      </c>
      <c r="B71">
        <v>729</v>
      </c>
      <c r="C71" t="s">
        <v>45</v>
      </c>
      <c r="D71" t="s">
        <v>46</v>
      </c>
      <c r="E71" t="s">
        <v>50</v>
      </c>
      <c r="F71" t="s">
        <v>51</v>
      </c>
      <c r="G71" t="s">
        <v>52</v>
      </c>
      <c r="H71">
        <v>0.82429195578382031</v>
      </c>
      <c r="I71" t="s">
        <v>154</v>
      </c>
      <c r="J71">
        <v>36</v>
      </c>
      <c r="K71">
        <v>4</v>
      </c>
      <c r="L71">
        <v>-3.84</v>
      </c>
      <c r="M71">
        <v>3.84</v>
      </c>
    </row>
    <row r="72" spans="1:13" x14ac:dyDescent="0.35">
      <c r="A72" t="s">
        <v>85</v>
      </c>
      <c r="B72">
        <v>116</v>
      </c>
      <c r="C72" t="s">
        <v>18</v>
      </c>
      <c r="E72" t="s">
        <v>26</v>
      </c>
      <c r="F72" t="s">
        <v>27</v>
      </c>
      <c r="G72" t="s">
        <v>28</v>
      </c>
      <c r="H72">
        <v>0.82352169618684601</v>
      </c>
      <c r="I72" t="s">
        <v>154</v>
      </c>
      <c r="J72">
        <v>36</v>
      </c>
      <c r="K72">
        <v>4</v>
      </c>
      <c r="L72">
        <v>-3.84</v>
      </c>
      <c r="M72">
        <v>3.84</v>
      </c>
    </row>
    <row r="73" spans="1:13" x14ac:dyDescent="0.35">
      <c r="A73" t="s">
        <v>86</v>
      </c>
      <c r="B73">
        <v>729</v>
      </c>
      <c r="C73" t="s">
        <v>45</v>
      </c>
      <c r="D73" t="s">
        <v>46</v>
      </c>
      <c r="E73" t="s">
        <v>50</v>
      </c>
      <c r="F73" t="s">
        <v>51</v>
      </c>
      <c r="G73" t="s">
        <v>52</v>
      </c>
      <c r="H73">
        <v>0.82162963145816093</v>
      </c>
      <c r="I73" t="s">
        <v>154</v>
      </c>
      <c r="J73">
        <v>36</v>
      </c>
      <c r="K73">
        <v>4</v>
      </c>
      <c r="L73">
        <v>-3.84</v>
      </c>
      <c r="M73">
        <v>3.84</v>
      </c>
    </row>
    <row r="74" spans="1:13" x14ac:dyDescent="0.35">
      <c r="A74" t="s">
        <v>78</v>
      </c>
      <c r="B74">
        <v>724</v>
      </c>
      <c r="C74" t="s">
        <v>45</v>
      </c>
      <c r="D74" t="s">
        <v>58</v>
      </c>
      <c r="E74" t="s">
        <v>50</v>
      </c>
      <c r="F74" t="s">
        <v>59</v>
      </c>
      <c r="G74" t="s">
        <v>60</v>
      </c>
      <c r="H74">
        <v>0.81809851549955703</v>
      </c>
      <c r="I74" t="s">
        <v>154</v>
      </c>
      <c r="J74">
        <v>36</v>
      </c>
      <c r="K74">
        <v>4</v>
      </c>
      <c r="L74">
        <v>-3.84</v>
      </c>
      <c r="M74">
        <v>3.84</v>
      </c>
    </row>
    <row r="75" spans="1:13" x14ac:dyDescent="0.35">
      <c r="A75" t="s">
        <v>87</v>
      </c>
      <c r="B75">
        <v>116</v>
      </c>
      <c r="C75" t="s">
        <v>18</v>
      </c>
      <c r="E75" t="s">
        <v>26</v>
      </c>
      <c r="F75" t="s">
        <v>27</v>
      </c>
      <c r="G75" t="s">
        <v>28</v>
      </c>
      <c r="H75">
        <v>0.81664478338746926</v>
      </c>
      <c r="I75" t="s">
        <v>154</v>
      </c>
      <c r="J75">
        <v>36</v>
      </c>
      <c r="K75">
        <v>4</v>
      </c>
      <c r="L75">
        <v>-3.84</v>
      </c>
      <c r="M75">
        <v>3.84</v>
      </c>
    </row>
    <row r="76" spans="1:13" x14ac:dyDescent="0.35">
      <c r="A76" t="s">
        <v>68</v>
      </c>
      <c r="B76">
        <v>729</v>
      </c>
      <c r="C76" t="s">
        <v>45</v>
      </c>
      <c r="D76" t="s">
        <v>46</v>
      </c>
      <c r="E76" t="s">
        <v>50</v>
      </c>
      <c r="F76" t="s">
        <v>51</v>
      </c>
      <c r="G76" t="s">
        <v>52</v>
      </c>
      <c r="H76">
        <v>0.81610307013014116</v>
      </c>
      <c r="I76" t="s">
        <v>154</v>
      </c>
      <c r="J76">
        <v>36</v>
      </c>
      <c r="K76">
        <v>4</v>
      </c>
      <c r="L76">
        <v>-3.84</v>
      </c>
      <c r="M76">
        <v>3.84</v>
      </c>
    </row>
    <row r="77" spans="1:13" x14ac:dyDescent="0.35">
      <c r="A77" t="s">
        <v>38</v>
      </c>
      <c r="B77">
        <v>724</v>
      </c>
      <c r="C77" t="s">
        <v>45</v>
      </c>
      <c r="D77" t="s">
        <v>58</v>
      </c>
      <c r="E77" t="s">
        <v>50</v>
      </c>
      <c r="F77" t="s">
        <v>59</v>
      </c>
      <c r="G77" t="s">
        <v>60</v>
      </c>
      <c r="H77">
        <v>0.81596223655565703</v>
      </c>
      <c r="I77" t="s">
        <v>154</v>
      </c>
      <c r="J77">
        <v>36</v>
      </c>
      <c r="K77">
        <v>4</v>
      </c>
      <c r="L77">
        <v>-3.84</v>
      </c>
      <c r="M77">
        <v>3.84</v>
      </c>
    </row>
    <row r="78" spans="1:13" x14ac:dyDescent="0.35">
      <c r="A78" t="s">
        <v>89</v>
      </c>
      <c r="B78">
        <v>116</v>
      </c>
      <c r="C78" t="s">
        <v>18</v>
      </c>
      <c r="E78" t="s">
        <v>26</v>
      </c>
      <c r="F78" t="s">
        <v>27</v>
      </c>
      <c r="G78" t="s">
        <v>28</v>
      </c>
      <c r="H78">
        <v>0.81578186106227479</v>
      </c>
      <c r="I78" t="s">
        <v>154</v>
      </c>
      <c r="J78">
        <v>36</v>
      </c>
      <c r="K78">
        <v>4</v>
      </c>
      <c r="L78">
        <v>-3.84</v>
      </c>
      <c r="M78">
        <v>3.84</v>
      </c>
    </row>
    <row r="79" spans="1:13" x14ac:dyDescent="0.35">
      <c r="A79" t="s">
        <v>79</v>
      </c>
      <c r="B79">
        <v>737</v>
      </c>
      <c r="C79" t="s">
        <v>45</v>
      </c>
      <c r="D79" t="s">
        <v>58</v>
      </c>
      <c r="E79" t="s">
        <v>47</v>
      </c>
      <c r="F79" t="s">
        <v>61</v>
      </c>
      <c r="G79" t="s">
        <v>62</v>
      </c>
      <c r="H79">
        <v>0.81570013415847897</v>
      </c>
      <c r="I79" t="s">
        <v>154</v>
      </c>
      <c r="J79">
        <v>36</v>
      </c>
      <c r="K79">
        <v>4</v>
      </c>
      <c r="L79">
        <v>-3.84</v>
      </c>
      <c r="M79">
        <v>3.84</v>
      </c>
    </row>
    <row r="80" spans="1:13" x14ac:dyDescent="0.35">
      <c r="A80" t="s">
        <v>32</v>
      </c>
      <c r="B80">
        <v>737</v>
      </c>
      <c r="C80" t="s">
        <v>45</v>
      </c>
      <c r="D80" t="s">
        <v>58</v>
      </c>
      <c r="E80" t="s">
        <v>47</v>
      </c>
      <c r="F80" t="s">
        <v>61</v>
      </c>
      <c r="G80" t="s">
        <v>62</v>
      </c>
      <c r="H80">
        <v>0.81445838024195405</v>
      </c>
      <c r="I80" t="s">
        <v>154</v>
      </c>
      <c r="J80">
        <v>36</v>
      </c>
      <c r="K80">
        <v>4</v>
      </c>
      <c r="L80">
        <v>-3.84</v>
      </c>
      <c r="M80">
        <v>3.84</v>
      </c>
    </row>
    <row r="81" spans="1:13" x14ac:dyDescent="0.35">
      <c r="A81" t="s">
        <v>78</v>
      </c>
      <c r="B81">
        <v>116</v>
      </c>
      <c r="C81" t="s">
        <v>18</v>
      </c>
      <c r="E81" t="s">
        <v>26</v>
      </c>
      <c r="F81" t="s">
        <v>27</v>
      </c>
      <c r="G81" t="s">
        <v>28</v>
      </c>
      <c r="H81">
        <v>0.81341725618142102</v>
      </c>
      <c r="I81" t="s">
        <v>154</v>
      </c>
      <c r="J81">
        <v>36</v>
      </c>
      <c r="K81">
        <v>4</v>
      </c>
      <c r="L81">
        <v>-3.84</v>
      </c>
      <c r="M81">
        <v>3.84</v>
      </c>
    </row>
    <row r="82" spans="1:13" x14ac:dyDescent="0.35">
      <c r="A82" t="s">
        <v>67</v>
      </c>
      <c r="B82">
        <v>729</v>
      </c>
      <c r="C82" t="s">
        <v>45</v>
      </c>
      <c r="D82" t="s">
        <v>46</v>
      </c>
      <c r="E82" t="s">
        <v>50</v>
      </c>
      <c r="F82" t="s">
        <v>51</v>
      </c>
      <c r="G82" t="s">
        <v>52</v>
      </c>
      <c r="H82">
        <v>0.81256948559162756</v>
      </c>
      <c r="I82" t="s">
        <v>154</v>
      </c>
      <c r="J82">
        <v>36</v>
      </c>
      <c r="K82">
        <v>4</v>
      </c>
      <c r="L82">
        <v>-3.84</v>
      </c>
      <c r="M82">
        <v>3.84</v>
      </c>
    </row>
    <row r="83" spans="1:13" x14ac:dyDescent="0.35">
      <c r="A83" t="s">
        <v>23</v>
      </c>
      <c r="B83">
        <v>724</v>
      </c>
      <c r="C83" t="s">
        <v>45</v>
      </c>
      <c r="D83" t="s">
        <v>58</v>
      </c>
      <c r="E83" t="s">
        <v>50</v>
      </c>
      <c r="F83" t="s">
        <v>59</v>
      </c>
      <c r="G83" t="s">
        <v>60</v>
      </c>
      <c r="H83">
        <v>0.809034601637311</v>
      </c>
      <c r="I83" t="s">
        <v>154</v>
      </c>
      <c r="J83">
        <v>36</v>
      </c>
      <c r="K83">
        <v>4</v>
      </c>
      <c r="L83">
        <v>-3.84</v>
      </c>
      <c r="M83">
        <v>3.84</v>
      </c>
    </row>
    <row r="84" spans="1:13" x14ac:dyDescent="0.35">
      <c r="A84" t="s">
        <v>79</v>
      </c>
      <c r="B84">
        <v>116</v>
      </c>
      <c r="C84" t="s">
        <v>18</v>
      </c>
      <c r="E84" t="s">
        <v>26</v>
      </c>
      <c r="F84" t="s">
        <v>27</v>
      </c>
      <c r="G84" t="s">
        <v>28</v>
      </c>
      <c r="H84">
        <v>0.80764094043113688</v>
      </c>
      <c r="I84" t="s">
        <v>154</v>
      </c>
      <c r="J84">
        <v>36</v>
      </c>
      <c r="K84">
        <v>4</v>
      </c>
      <c r="L84">
        <v>-3.84</v>
      </c>
      <c r="M84">
        <v>3.84</v>
      </c>
    </row>
    <row r="85" spans="1:13" x14ac:dyDescent="0.35">
      <c r="A85" t="s">
        <v>90</v>
      </c>
      <c r="B85">
        <v>729</v>
      </c>
      <c r="C85" t="s">
        <v>45</v>
      </c>
      <c r="D85" t="s">
        <v>46</v>
      </c>
      <c r="E85" t="s">
        <v>50</v>
      </c>
      <c r="F85" t="s">
        <v>51</v>
      </c>
      <c r="G85" t="s">
        <v>52</v>
      </c>
      <c r="H85">
        <v>0.80655419557121244</v>
      </c>
      <c r="I85" t="s">
        <v>154</v>
      </c>
      <c r="J85">
        <v>36</v>
      </c>
      <c r="K85">
        <v>4</v>
      </c>
      <c r="L85">
        <v>-3.84</v>
      </c>
      <c r="M85">
        <v>3.84</v>
      </c>
    </row>
    <row r="86" spans="1:13" x14ac:dyDescent="0.35">
      <c r="A86" t="s">
        <v>92</v>
      </c>
      <c r="B86">
        <v>729</v>
      </c>
      <c r="C86" t="s">
        <v>45</v>
      </c>
      <c r="D86" t="s">
        <v>46</v>
      </c>
      <c r="E86" t="s">
        <v>50</v>
      </c>
      <c r="F86" t="s">
        <v>51</v>
      </c>
      <c r="G86" t="s">
        <v>52</v>
      </c>
      <c r="H86">
        <v>0.80496036460588727</v>
      </c>
      <c r="I86" t="s">
        <v>154</v>
      </c>
      <c r="J86">
        <v>36</v>
      </c>
      <c r="K86">
        <v>4</v>
      </c>
      <c r="L86">
        <v>-3.84</v>
      </c>
      <c r="M86">
        <v>3.84</v>
      </c>
    </row>
    <row r="87" spans="1:13" x14ac:dyDescent="0.35">
      <c r="A87" t="s">
        <v>93</v>
      </c>
      <c r="B87">
        <v>729</v>
      </c>
      <c r="C87" t="s">
        <v>45</v>
      </c>
      <c r="D87" t="s">
        <v>46</v>
      </c>
      <c r="E87" t="s">
        <v>50</v>
      </c>
      <c r="F87" t="s">
        <v>51</v>
      </c>
      <c r="G87" t="s">
        <v>52</v>
      </c>
      <c r="H87">
        <v>0.80366689129742963</v>
      </c>
      <c r="I87" t="s">
        <v>154</v>
      </c>
      <c r="J87">
        <v>36</v>
      </c>
      <c r="K87">
        <v>4</v>
      </c>
      <c r="L87">
        <v>-3.84</v>
      </c>
      <c r="M87">
        <v>3.84</v>
      </c>
    </row>
    <row r="88" spans="1:13" x14ac:dyDescent="0.35">
      <c r="A88" t="s">
        <v>79</v>
      </c>
      <c r="B88">
        <v>724</v>
      </c>
      <c r="C88" t="s">
        <v>45</v>
      </c>
      <c r="D88" t="s">
        <v>58</v>
      </c>
      <c r="E88" t="s">
        <v>50</v>
      </c>
      <c r="F88" t="s">
        <v>59</v>
      </c>
      <c r="G88" t="s">
        <v>60</v>
      </c>
      <c r="H88">
        <v>0.80215521255668576</v>
      </c>
      <c r="I88" t="s">
        <v>154</v>
      </c>
      <c r="J88">
        <v>36</v>
      </c>
      <c r="K88">
        <v>4</v>
      </c>
      <c r="L88">
        <v>-3.84</v>
      </c>
      <c r="M88">
        <v>3.84</v>
      </c>
    </row>
    <row r="89" spans="1:13" x14ac:dyDescent="0.35">
      <c r="A89" t="s">
        <v>53</v>
      </c>
      <c r="B89">
        <v>737</v>
      </c>
      <c r="C89" t="s">
        <v>45</v>
      </c>
      <c r="D89" t="s">
        <v>58</v>
      </c>
      <c r="E89" t="s">
        <v>47</v>
      </c>
      <c r="F89" t="s">
        <v>61</v>
      </c>
      <c r="G89" t="s">
        <v>62</v>
      </c>
      <c r="H89">
        <v>0.79985190032783626</v>
      </c>
      <c r="I89" t="s">
        <v>154</v>
      </c>
      <c r="J89">
        <v>36</v>
      </c>
      <c r="K89">
        <v>4</v>
      </c>
      <c r="L89">
        <v>-3.84</v>
      </c>
      <c r="M89">
        <v>3.84</v>
      </c>
    </row>
    <row r="90" spans="1:13" x14ac:dyDescent="0.35">
      <c r="A90" t="s">
        <v>86</v>
      </c>
      <c r="B90">
        <v>116</v>
      </c>
      <c r="C90" t="s">
        <v>18</v>
      </c>
      <c r="E90" t="s">
        <v>26</v>
      </c>
      <c r="F90" t="s">
        <v>27</v>
      </c>
      <c r="G90" t="s">
        <v>28</v>
      </c>
      <c r="H90">
        <v>0.79943153873591333</v>
      </c>
      <c r="I90" t="s">
        <v>154</v>
      </c>
      <c r="J90">
        <v>36</v>
      </c>
      <c r="K90">
        <v>4</v>
      </c>
      <c r="L90">
        <v>-3.84</v>
      </c>
      <c r="M90">
        <v>3.84</v>
      </c>
    </row>
    <row r="91" spans="1:13" x14ac:dyDescent="0.35">
      <c r="A91" t="s">
        <v>95</v>
      </c>
      <c r="B91">
        <v>729</v>
      </c>
      <c r="C91" t="s">
        <v>45</v>
      </c>
      <c r="D91" t="s">
        <v>46</v>
      </c>
      <c r="E91" t="s">
        <v>50</v>
      </c>
      <c r="F91" t="s">
        <v>51</v>
      </c>
      <c r="G91" t="s">
        <v>52</v>
      </c>
      <c r="H91">
        <v>0.79684215840697181</v>
      </c>
      <c r="I91" t="s">
        <v>154</v>
      </c>
      <c r="J91">
        <v>36</v>
      </c>
      <c r="K91">
        <v>4</v>
      </c>
      <c r="L91">
        <v>-3.84</v>
      </c>
      <c r="M91">
        <v>3.84</v>
      </c>
    </row>
    <row r="92" spans="1:13" x14ac:dyDescent="0.35">
      <c r="A92" t="s">
        <v>96</v>
      </c>
      <c r="B92">
        <v>741</v>
      </c>
      <c r="C92" t="s">
        <v>45</v>
      </c>
      <c r="D92" t="s">
        <v>46</v>
      </c>
      <c r="E92" t="s">
        <v>47</v>
      </c>
      <c r="F92" t="s">
        <v>48</v>
      </c>
      <c r="G92" t="s">
        <v>49</v>
      </c>
      <c r="H92">
        <v>0.79480800017265796</v>
      </c>
      <c r="I92" t="s">
        <v>154</v>
      </c>
      <c r="J92">
        <v>36</v>
      </c>
      <c r="K92">
        <v>4</v>
      </c>
      <c r="L92">
        <v>-3.84</v>
      </c>
      <c r="M92">
        <v>3.84</v>
      </c>
    </row>
    <row r="93" spans="1:13" x14ac:dyDescent="0.35">
      <c r="A93" t="s">
        <v>77</v>
      </c>
      <c r="B93">
        <v>737</v>
      </c>
      <c r="C93" t="s">
        <v>45</v>
      </c>
      <c r="D93" t="s">
        <v>58</v>
      </c>
      <c r="E93" t="s">
        <v>47</v>
      </c>
      <c r="F93" t="s">
        <v>61</v>
      </c>
      <c r="G93" t="s">
        <v>62</v>
      </c>
      <c r="H93">
        <v>0.79345483471614786</v>
      </c>
      <c r="I93" t="s">
        <v>154</v>
      </c>
      <c r="J93">
        <v>36</v>
      </c>
      <c r="K93">
        <v>4</v>
      </c>
      <c r="L93">
        <v>-3.84</v>
      </c>
      <c r="M93">
        <v>3.84</v>
      </c>
    </row>
    <row r="94" spans="1:13" x14ac:dyDescent="0.35">
      <c r="A94" t="s">
        <v>80</v>
      </c>
      <c r="B94">
        <v>741</v>
      </c>
      <c r="C94" t="s">
        <v>45</v>
      </c>
      <c r="D94" t="s">
        <v>46</v>
      </c>
      <c r="E94" t="s">
        <v>47</v>
      </c>
      <c r="F94" t="s">
        <v>48</v>
      </c>
      <c r="G94" t="s">
        <v>49</v>
      </c>
      <c r="H94">
        <v>0.79255941433881738</v>
      </c>
      <c r="I94" t="s">
        <v>154</v>
      </c>
      <c r="J94">
        <v>36</v>
      </c>
      <c r="K94">
        <v>4</v>
      </c>
      <c r="L94">
        <v>-3.84</v>
      </c>
      <c r="M94">
        <v>3.84</v>
      </c>
    </row>
    <row r="95" spans="1:13" x14ac:dyDescent="0.35">
      <c r="A95" t="s">
        <v>42</v>
      </c>
      <c r="B95">
        <v>741</v>
      </c>
      <c r="C95" t="s">
        <v>45</v>
      </c>
      <c r="D95" t="s">
        <v>46</v>
      </c>
      <c r="E95" t="s">
        <v>47</v>
      </c>
      <c r="F95" t="s">
        <v>48</v>
      </c>
      <c r="G95" t="s">
        <v>49</v>
      </c>
      <c r="H95">
        <v>0.78941402136042038</v>
      </c>
      <c r="I95" t="s">
        <v>154</v>
      </c>
      <c r="J95">
        <v>36</v>
      </c>
      <c r="K95">
        <v>4</v>
      </c>
      <c r="L95">
        <v>-3.84</v>
      </c>
      <c r="M95">
        <v>3.84</v>
      </c>
    </row>
    <row r="96" spans="1:13" x14ac:dyDescent="0.35">
      <c r="A96" t="s">
        <v>98</v>
      </c>
      <c r="B96">
        <v>724</v>
      </c>
      <c r="C96" t="s">
        <v>45</v>
      </c>
      <c r="D96" t="s">
        <v>58</v>
      </c>
      <c r="E96" t="s">
        <v>50</v>
      </c>
      <c r="F96" t="s">
        <v>59</v>
      </c>
      <c r="G96" t="s">
        <v>60</v>
      </c>
      <c r="H96">
        <v>0.78902411721485965</v>
      </c>
      <c r="I96" t="s">
        <v>154</v>
      </c>
      <c r="J96">
        <v>36</v>
      </c>
      <c r="K96">
        <v>4</v>
      </c>
      <c r="L96">
        <v>-3.84</v>
      </c>
      <c r="M96">
        <v>3.84</v>
      </c>
    </row>
    <row r="97" spans="1:13" x14ac:dyDescent="0.35">
      <c r="A97" t="s">
        <v>99</v>
      </c>
      <c r="B97">
        <v>117</v>
      </c>
      <c r="C97" t="s">
        <v>18</v>
      </c>
      <c r="E97" t="s">
        <v>19</v>
      </c>
      <c r="F97" t="s">
        <v>20</v>
      </c>
      <c r="G97" t="s">
        <v>21</v>
      </c>
      <c r="H97">
        <v>0.78871730088350644</v>
      </c>
      <c r="I97" t="s">
        <v>154</v>
      </c>
      <c r="J97">
        <v>36</v>
      </c>
      <c r="K97">
        <v>4</v>
      </c>
      <c r="L97">
        <v>-3.84</v>
      </c>
      <c r="M97">
        <v>3.84</v>
      </c>
    </row>
    <row r="98" spans="1:13" x14ac:dyDescent="0.35">
      <c r="A98" t="s">
        <v>100</v>
      </c>
      <c r="B98">
        <v>116</v>
      </c>
      <c r="C98" t="s">
        <v>18</v>
      </c>
      <c r="E98" t="s">
        <v>26</v>
      </c>
      <c r="F98" t="s">
        <v>27</v>
      </c>
      <c r="G98" t="s">
        <v>28</v>
      </c>
      <c r="H98">
        <v>0.78768095706357666</v>
      </c>
      <c r="I98" t="s">
        <v>154</v>
      </c>
      <c r="J98">
        <v>36</v>
      </c>
      <c r="K98">
        <v>4</v>
      </c>
      <c r="L98">
        <v>-3.84</v>
      </c>
      <c r="M98">
        <v>3.84</v>
      </c>
    </row>
    <row r="99" spans="1:13" x14ac:dyDescent="0.35">
      <c r="A99" t="s">
        <v>89</v>
      </c>
      <c r="B99">
        <v>117</v>
      </c>
      <c r="C99" t="s">
        <v>18</v>
      </c>
      <c r="E99" t="s">
        <v>19</v>
      </c>
      <c r="F99" t="s">
        <v>20</v>
      </c>
      <c r="G99" t="s">
        <v>21</v>
      </c>
      <c r="H99">
        <v>0.78716532428169594</v>
      </c>
      <c r="I99" t="s">
        <v>154</v>
      </c>
      <c r="J99">
        <v>36</v>
      </c>
      <c r="K99">
        <v>4</v>
      </c>
      <c r="L99">
        <v>-3.84</v>
      </c>
      <c r="M99">
        <v>3.84</v>
      </c>
    </row>
    <row r="100" spans="1:13" x14ac:dyDescent="0.35">
      <c r="A100" t="s">
        <v>33</v>
      </c>
      <c r="B100">
        <v>741</v>
      </c>
      <c r="C100" t="s">
        <v>45</v>
      </c>
      <c r="D100" t="s">
        <v>46</v>
      </c>
      <c r="E100" t="s">
        <v>47</v>
      </c>
      <c r="F100" t="s">
        <v>48</v>
      </c>
      <c r="G100" t="s">
        <v>49</v>
      </c>
      <c r="H100">
        <v>0.78704674319167189</v>
      </c>
      <c r="I100" t="s">
        <v>154</v>
      </c>
      <c r="J100">
        <v>36</v>
      </c>
      <c r="K100">
        <v>4</v>
      </c>
      <c r="L100">
        <v>-3.84</v>
      </c>
      <c r="M100">
        <v>3.84</v>
      </c>
    </row>
    <row r="101" spans="1:13" x14ac:dyDescent="0.35">
      <c r="A101" t="s">
        <v>102</v>
      </c>
      <c r="B101">
        <v>729</v>
      </c>
      <c r="C101" t="s">
        <v>45</v>
      </c>
      <c r="D101" t="s">
        <v>46</v>
      </c>
      <c r="E101" t="s">
        <v>50</v>
      </c>
      <c r="F101" t="s">
        <v>51</v>
      </c>
      <c r="G101" t="s">
        <v>52</v>
      </c>
      <c r="H101">
        <v>0.78646703523616235</v>
      </c>
      <c r="I101" t="s">
        <v>154</v>
      </c>
      <c r="J101">
        <v>36</v>
      </c>
      <c r="K101">
        <v>4</v>
      </c>
      <c r="L101">
        <v>-3.84</v>
      </c>
      <c r="M101">
        <v>3.84</v>
      </c>
    </row>
    <row r="102" spans="1:13" x14ac:dyDescent="0.35">
      <c r="A102" t="s">
        <v>85</v>
      </c>
      <c r="B102">
        <v>117</v>
      </c>
      <c r="C102" t="s">
        <v>18</v>
      </c>
      <c r="E102" t="s">
        <v>19</v>
      </c>
      <c r="F102" t="s">
        <v>20</v>
      </c>
      <c r="G102" t="s">
        <v>21</v>
      </c>
      <c r="H102">
        <v>0.78612945859681804</v>
      </c>
      <c r="I102" t="s">
        <v>154</v>
      </c>
      <c r="J102">
        <v>36</v>
      </c>
      <c r="K102">
        <v>4</v>
      </c>
      <c r="L102">
        <v>-3.84</v>
      </c>
      <c r="M102">
        <v>3.84</v>
      </c>
    </row>
    <row r="103" spans="1:13" x14ac:dyDescent="0.35">
      <c r="A103" t="s">
        <v>73</v>
      </c>
      <c r="B103">
        <v>737</v>
      </c>
      <c r="C103" t="s">
        <v>45</v>
      </c>
      <c r="D103" t="s">
        <v>58</v>
      </c>
      <c r="E103" t="s">
        <v>47</v>
      </c>
      <c r="F103" t="s">
        <v>61</v>
      </c>
      <c r="G103" t="s">
        <v>62</v>
      </c>
      <c r="H103">
        <v>0.78536201707289977</v>
      </c>
      <c r="I103" t="s">
        <v>154</v>
      </c>
      <c r="J103">
        <v>36</v>
      </c>
      <c r="K103">
        <v>4</v>
      </c>
      <c r="L103">
        <v>-3.84</v>
      </c>
      <c r="M103">
        <v>3.84</v>
      </c>
    </row>
    <row r="104" spans="1:13" x14ac:dyDescent="0.35">
      <c r="A104" t="s">
        <v>30</v>
      </c>
      <c r="B104">
        <v>724</v>
      </c>
      <c r="C104" t="s">
        <v>45</v>
      </c>
      <c r="D104" t="s">
        <v>58</v>
      </c>
      <c r="E104" t="s">
        <v>50</v>
      </c>
      <c r="F104" t="s">
        <v>59</v>
      </c>
      <c r="G104" t="s">
        <v>60</v>
      </c>
      <c r="H104">
        <v>0.77858635312947766</v>
      </c>
      <c r="I104" t="s">
        <v>154</v>
      </c>
      <c r="J104">
        <v>36</v>
      </c>
      <c r="K104">
        <v>4</v>
      </c>
      <c r="L104">
        <v>-3.84</v>
      </c>
      <c r="M104">
        <v>3.84</v>
      </c>
    </row>
    <row r="105" spans="1:13" x14ac:dyDescent="0.35">
      <c r="A105" t="s">
        <v>79</v>
      </c>
      <c r="B105">
        <v>729</v>
      </c>
      <c r="C105" t="s">
        <v>45</v>
      </c>
      <c r="D105" t="s">
        <v>46</v>
      </c>
      <c r="E105" t="s">
        <v>50</v>
      </c>
      <c r="F105" t="s">
        <v>51</v>
      </c>
      <c r="G105" t="s">
        <v>52</v>
      </c>
      <c r="H105">
        <v>0.77634272406619809</v>
      </c>
      <c r="I105" t="s">
        <v>154</v>
      </c>
      <c r="J105">
        <v>36</v>
      </c>
      <c r="K105">
        <v>4</v>
      </c>
      <c r="L105">
        <v>-3.84</v>
      </c>
      <c r="M105">
        <v>3.84</v>
      </c>
    </row>
    <row r="106" spans="1:13" x14ac:dyDescent="0.35">
      <c r="A106" t="s">
        <v>103</v>
      </c>
      <c r="B106">
        <v>117</v>
      </c>
      <c r="C106" t="s">
        <v>18</v>
      </c>
      <c r="E106" t="s">
        <v>19</v>
      </c>
      <c r="F106" t="s">
        <v>20</v>
      </c>
      <c r="G106" t="s">
        <v>21</v>
      </c>
      <c r="H106">
        <v>0.77518497016327526</v>
      </c>
      <c r="I106" t="s">
        <v>154</v>
      </c>
      <c r="J106">
        <v>36</v>
      </c>
      <c r="K106">
        <v>4</v>
      </c>
      <c r="L106">
        <v>-3.84</v>
      </c>
      <c r="M106">
        <v>3.84</v>
      </c>
    </row>
    <row r="107" spans="1:13" x14ac:dyDescent="0.35">
      <c r="A107" t="s">
        <v>105</v>
      </c>
      <c r="B107">
        <v>737</v>
      </c>
      <c r="C107" t="s">
        <v>45</v>
      </c>
      <c r="D107" t="s">
        <v>58</v>
      </c>
      <c r="E107" t="s">
        <v>47</v>
      </c>
      <c r="F107" t="s">
        <v>61</v>
      </c>
      <c r="G107" t="s">
        <v>62</v>
      </c>
      <c r="H107">
        <v>0.77406687433359012</v>
      </c>
      <c r="I107" t="s">
        <v>154</v>
      </c>
      <c r="J107">
        <v>36</v>
      </c>
      <c r="K107">
        <v>4</v>
      </c>
      <c r="L107">
        <v>-3.84</v>
      </c>
      <c r="M107">
        <v>3.84</v>
      </c>
    </row>
    <row r="108" spans="1:13" x14ac:dyDescent="0.35">
      <c r="A108" t="s">
        <v>25</v>
      </c>
      <c r="B108">
        <v>737</v>
      </c>
      <c r="C108" t="s">
        <v>45</v>
      </c>
      <c r="D108" t="s">
        <v>58</v>
      </c>
      <c r="E108" t="s">
        <v>47</v>
      </c>
      <c r="F108" t="s">
        <v>61</v>
      </c>
      <c r="G108" t="s">
        <v>62</v>
      </c>
      <c r="H108">
        <v>0.77346554123475797</v>
      </c>
      <c r="I108" t="s">
        <v>154</v>
      </c>
      <c r="J108">
        <v>36</v>
      </c>
      <c r="K108">
        <v>4</v>
      </c>
      <c r="L108">
        <v>-3.84</v>
      </c>
      <c r="M108">
        <v>3.84</v>
      </c>
    </row>
    <row r="109" spans="1:13" x14ac:dyDescent="0.35">
      <c r="A109" t="s">
        <v>90</v>
      </c>
      <c r="B109">
        <v>741</v>
      </c>
      <c r="C109" t="s">
        <v>45</v>
      </c>
      <c r="D109" t="s">
        <v>46</v>
      </c>
      <c r="E109" t="s">
        <v>47</v>
      </c>
      <c r="F109" t="s">
        <v>48</v>
      </c>
      <c r="G109" t="s">
        <v>49</v>
      </c>
      <c r="H109">
        <v>0.77175396554366715</v>
      </c>
      <c r="I109" t="s">
        <v>154</v>
      </c>
      <c r="J109">
        <v>36</v>
      </c>
      <c r="K109">
        <v>4</v>
      </c>
      <c r="L109">
        <v>-3.84</v>
      </c>
      <c r="M109">
        <v>3.84</v>
      </c>
    </row>
    <row r="110" spans="1:13" x14ac:dyDescent="0.35">
      <c r="A110" t="s">
        <v>17</v>
      </c>
      <c r="B110">
        <v>741</v>
      </c>
      <c r="C110" t="s">
        <v>45</v>
      </c>
      <c r="D110" t="s">
        <v>46</v>
      </c>
      <c r="E110" t="s">
        <v>47</v>
      </c>
      <c r="F110" t="s">
        <v>48</v>
      </c>
      <c r="G110" t="s">
        <v>49</v>
      </c>
      <c r="H110">
        <v>0.77140182922980038</v>
      </c>
      <c r="I110" t="s">
        <v>154</v>
      </c>
      <c r="J110">
        <v>36</v>
      </c>
      <c r="K110">
        <v>4</v>
      </c>
      <c r="L110">
        <v>-3.84</v>
      </c>
      <c r="M110">
        <v>3.84</v>
      </c>
    </row>
    <row r="111" spans="1:13" x14ac:dyDescent="0.35">
      <c r="A111" t="s">
        <v>57</v>
      </c>
      <c r="B111">
        <v>737</v>
      </c>
      <c r="C111" t="s">
        <v>45</v>
      </c>
      <c r="D111" t="s">
        <v>58</v>
      </c>
      <c r="E111" t="s">
        <v>47</v>
      </c>
      <c r="F111" t="s">
        <v>61</v>
      </c>
      <c r="G111" t="s">
        <v>62</v>
      </c>
      <c r="H111">
        <v>0.76904288587710534</v>
      </c>
      <c r="I111" t="s">
        <v>154</v>
      </c>
      <c r="J111">
        <v>36</v>
      </c>
      <c r="K111">
        <v>4</v>
      </c>
      <c r="L111">
        <v>-3.84</v>
      </c>
      <c r="M111">
        <v>3.84</v>
      </c>
    </row>
    <row r="112" spans="1:13" x14ac:dyDescent="0.35">
      <c r="A112" t="s">
        <v>106</v>
      </c>
      <c r="B112">
        <v>741</v>
      </c>
      <c r="C112" t="s">
        <v>45</v>
      </c>
      <c r="D112" t="s">
        <v>46</v>
      </c>
      <c r="E112" t="s">
        <v>47</v>
      </c>
      <c r="F112" t="s">
        <v>48</v>
      </c>
      <c r="G112" t="s">
        <v>49</v>
      </c>
      <c r="H112">
        <v>0.76896811115168517</v>
      </c>
      <c r="I112" t="s">
        <v>154</v>
      </c>
      <c r="J112">
        <v>36</v>
      </c>
      <c r="K112">
        <v>4</v>
      </c>
      <c r="L112">
        <v>-3.84</v>
      </c>
      <c r="M112">
        <v>3.84</v>
      </c>
    </row>
    <row r="113" spans="1:13" x14ac:dyDescent="0.35">
      <c r="A113" t="s">
        <v>73</v>
      </c>
      <c r="B113">
        <v>729</v>
      </c>
      <c r="C113" t="s">
        <v>45</v>
      </c>
      <c r="D113" t="s">
        <v>46</v>
      </c>
      <c r="E113" t="s">
        <v>50</v>
      </c>
      <c r="F113" t="s">
        <v>51</v>
      </c>
      <c r="G113" t="s">
        <v>52</v>
      </c>
      <c r="H113">
        <v>0.76864513452729921</v>
      </c>
      <c r="I113" t="s">
        <v>154</v>
      </c>
      <c r="J113">
        <v>36</v>
      </c>
      <c r="K113">
        <v>4</v>
      </c>
      <c r="L113">
        <v>-3.84</v>
      </c>
      <c r="M113">
        <v>3.84</v>
      </c>
    </row>
    <row r="114" spans="1:13" x14ac:dyDescent="0.35">
      <c r="A114" t="s">
        <v>87</v>
      </c>
      <c r="B114">
        <v>117</v>
      </c>
      <c r="C114" t="s">
        <v>18</v>
      </c>
      <c r="E114" t="s">
        <v>19</v>
      </c>
      <c r="F114" t="s">
        <v>20</v>
      </c>
      <c r="G114" t="s">
        <v>21</v>
      </c>
      <c r="H114">
        <v>0.7670871978916417</v>
      </c>
      <c r="I114" t="s">
        <v>154</v>
      </c>
      <c r="J114">
        <v>36</v>
      </c>
      <c r="K114">
        <v>4</v>
      </c>
      <c r="L114">
        <v>-3.84</v>
      </c>
      <c r="M114">
        <v>3.84</v>
      </c>
    </row>
    <row r="115" spans="1:13" x14ac:dyDescent="0.35">
      <c r="A115" t="s">
        <v>103</v>
      </c>
      <c r="B115">
        <v>741</v>
      </c>
      <c r="C115" t="s">
        <v>45</v>
      </c>
      <c r="D115" t="s">
        <v>46</v>
      </c>
      <c r="E115" t="s">
        <v>47</v>
      </c>
      <c r="F115" t="s">
        <v>48</v>
      </c>
      <c r="G115" t="s">
        <v>49</v>
      </c>
      <c r="H115">
        <v>0.76663933650164517</v>
      </c>
      <c r="I115" t="s">
        <v>154</v>
      </c>
      <c r="J115">
        <v>36</v>
      </c>
      <c r="K115">
        <v>4</v>
      </c>
      <c r="L115">
        <v>-3.84</v>
      </c>
      <c r="M115">
        <v>3.84</v>
      </c>
    </row>
    <row r="116" spans="1:13" x14ac:dyDescent="0.35">
      <c r="A116" t="s">
        <v>107</v>
      </c>
      <c r="B116">
        <v>741</v>
      </c>
      <c r="C116" t="s">
        <v>45</v>
      </c>
      <c r="D116" t="s">
        <v>46</v>
      </c>
      <c r="E116" t="s">
        <v>47</v>
      </c>
      <c r="F116" t="s">
        <v>48</v>
      </c>
      <c r="G116" t="s">
        <v>49</v>
      </c>
      <c r="H116">
        <v>0.76636223472103882</v>
      </c>
      <c r="I116" t="s">
        <v>154</v>
      </c>
      <c r="J116">
        <v>36</v>
      </c>
      <c r="K116">
        <v>4</v>
      </c>
      <c r="L116">
        <v>-3.84</v>
      </c>
      <c r="M116">
        <v>3.84</v>
      </c>
    </row>
    <row r="117" spans="1:13" x14ac:dyDescent="0.35">
      <c r="A117" t="s">
        <v>108</v>
      </c>
      <c r="B117">
        <v>729</v>
      </c>
      <c r="C117" t="s">
        <v>45</v>
      </c>
      <c r="D117" t="s">
        <v>46</v>
      </c>
      <c r="E117" t="s">
        <v>50</v>
      </c>
      <c r="F117" t="s">
        <v>51</v>
      </c>
      <c r="G117" t="s">
        <v>52</v>
      </c>
      <c r="H117">
        <v>0.76526268452131796</v>
      </c>
      <c r="I117" t="s">
        <v>154</v>
      </c>
      <c r="J117">
        <v>36</v>
      </c>
      <c r="K117">
        <v>4</v>
      </c>
      <c r="L117">
        <v>-3.84</v>
      </c>
      <c r="M117">
        <v>3.84</v>
      </c>
    </row>
    <row r="118" spans="1:13" x14ac:dyDescent="0.35">
      <c r="A118" t="s">
        <v>68</v>
      </c>
      <c r="B118">
        <v>737</v>
      </c>
      <c r="C118" t="s">
        <v>45</v>
      </c>
      <c r="D118" t="s">
        <v>58</v>
      </c>
      <c r="E118" t="s">
        <v>47</v>
      </c>
      <c r="F118" t="s">
        <v>61</v>
      </c>
      <c r="G118" t="s">
        <v>62</v>
      </c>
      <c r="H118">
        <v>0.76468322302971903</v>
      </c>
      <c r="I118" t="s">
        <v>154</v>
      </c>
      <c r="J118">
        <v>36</v>
      </c>
      <c r="K118">
        <v>4</v>
      </c>
      <c r="L118">
        <v>-3.84</v>
      </c>
      <c r="M118">
        <v>3.84</v>
      </c>
    </row>
    <row r="119" spans="1:13" x14ac:dyDescent="0.35">
      <c r="A119" t="s">
        <v>82</v>
      </c>
      <c r="B119">
        <v>117</v>
      </c>
      <c r="C119" t="s">
        <v>18</v>
      </c>
      <c r="E119" t="s">
        <v>19</v>
      </c>
      <c r="F119" t="s">
        <v>20</v>
      </c>
      <c r="G119" t="s">
        <v>21</v>
      </c>
      <c r="H119">
        <v>0.76337680320367285</v>
      </c>
      <c r="I119" t="s">
        <v>154</v>
      </c>
      <c r="J119">
        <v>36</v>
      </c>
      <c r="K119">
        <v>4</v>
      </c>
      <c r="L119">
        <v>-3.84</v>
      </c>
      <c r="M119">
        <v>3.84</v>
      </c>
    </row>
    <row r="120" spans="1:13" x14ac:dyDescent="0.35">
      <c r="A120" t="s">
        <v>109</v>
      </c>
      <c r="B120">
        <v>741</v>
      </c>
      <c r="C120" t="s">
        <v>45</v>
      </c>
      <c r="D120" t="s">
        <v>46</v>
      </c>
      <c r="E120" t="s">
        <v>47</v>
      </c>
      <c r="F120" t="s">
        <v>48</v>
      </c>
      <c r="G120" t="s">
        <v>49</v>
      </c>
      <c r="H120">
        <v>0.76278476277009444</v>
      </c>
      <c r="I120" t="s">
        <v>154</v>
      </c>
      <c r="J120">
        <v>36</v>
      </c>
      <c r="K120">
        <v>4</v>
      </c>
      <c r="L120">
        <v>-3.84</v>
      </c>
      <c r="M120">
        <v>3.84</v>
      </c>
    </row>
    <row r="121" spans="1:13" x14ac:dyDescent="0.35">
      <c r="A121" t="s">
        <v>38</v>
      </c>
      <c r="B121">
        <v>729</v>
      </c>
      <c r="C121" t="s">
        <v>45</v>
      </c>
      <c r="D121" t="s">
        <v>46</v>
      </c>
      <c r="E121" t="s">
        <v>50</v>
      </c>
      <c r="F121" t="s">
        <v>51</v>
      </c>
      <c r="G121" t="s">
        <v>52</v>
      </c>
      <c r="H121">
        <v>0.76272916533004764</v>
      </c>
      <c r="I121" t="s">
        <v>154</v>
      </c>
      <c r="J121">
        <v>36</v>
      </c>
      <c r="K121">
        <v>4</v>
      </c>
      <c r="L121">
        <v>-3.84</v>
      </c>
      <c r="M121">
        <v>3.84</v>
      </c>
    </row>
    <row r="122" spans="1:13" x14ac:dyDescent="0.35">
      <c r="A122" t="s">
        <v>99</v>
      </c>
      <c r="B122">
        <v>116</v>
      </c>
      <c r="C122" t="s">
        <v>18</v>
      </c>
      <c r="E122" t="s">
        <v>26</v>
      </c>
      <c r="F122" t="s">
        <v>27</v>
      </c>
      <c r="G122" t="s">
        <v>28</v>
      </c>
      <c r="H122">
        <v>0.76053721121900986</v>
      </c>
      <c r="I122" t="s">
        <v>154</v>
      </c>
      <c r="J122">
        <v>36</v>
      </c>
      <c r="K122">
        <v>4</v>
      </c>
      <c r="L122">
        <v>-3.84</v>
      </c>
      <c r="M122">
        <v>3.84</v>
      </c>
    </row>
    <row r="123" spans="1:13" x14ac:dyDescent="0.35">
      <c r="A123" t="s">
        <v>98</v>
      </c>
      <c r="B123">
        <v>741</v>
      </c>
      <c r="C123" t="s">
        <v>45</v>
      </c>
      <c r="D123" t="s">
        <v>46</v>
      </c>
      <c r="E123" t="s">
        <v>47</v>
      </c>
      <c r="F123" t="s">
        <v>48</v>
      </c>
      <c r="G123" t="s">
        <v>49</v>
      </c>
      <c r="H123">
        <v>0.76051518830349463</v>
      </c>
      <c r="I123" t="s">
        <v>154</v>
      </c>
      <c r="J123">
        <v>36</v>
      </c>
      <c r="K123">
        <v>4</v>
      </c>
      <c r="L123">
        <v>-3.84</v>
      </c>
      <c r="M123">
        <v>3.84</v>
      </c>
    </row>
    <row r="124" spans="1:13" x14ac:dyDescent="0.35">
      <c r="A124" t="s">
        <v>95</v>
      </c>
      <c r="B124">
        <v>737</v>
      </c>
      <c r="C124" t="s">
        <v>45</v>
      </c>
      <c r="D124" t="s">
        <v>58</v>
      </c>
      <c r="E124" t="s">
        <v>47</v>
      </c>
      <c r="F124" t="s">
        <v>61</v>
      </c>
      <c r="G124" t="s">
        <v>62</v>
      </c>
      <c r="H124">
        <v>0.75914518402735598</v>
      </c>
      <c r="I124" t="s">
        <v>154</v>
      </c>
      <c r="J124">
        <v>36</v>
      </c>
      <c r="K124">
        <v>4</v>
      </c>
      <c r="L124">
        <v>-3.84</v>
      </c>
      <c r="M124">
        <v>3.84</v>
      </c>
    </row>
    <row r="125" spans="1:13" x14ac:dyDescent="0.35">
      <c r="A125" t="s">
        <v>65</v>
      </c>
      <c r="B125">
        <v>116</v>
      </c>
      <c r="C125" t="s">
        <v>18</v>
      </c>
      <c r="E125" t="s">
        <v>26</v>
      </c>
      <c r="F125" t="s">
        <v>27</v>
      </c>
      <c r="G125" t="s">
        <v>28</v>
      </c>
      <c r="H125">
        <v>0.75634219619309495</v>
      </c>
      <c r="I125" t="s">
        <v>154</v>
      </c>
      <c r="J125">
        <v>36</v>
      </c>
      <c r="K125">
        <v>4</v>
      </c>
      <c r="L125">
        <v>-3.84</v>
      </c>
      <c r="M125">
        <v>3.84</v>
      </c>
    </row>
    <row r="126" spans="1:13" x14ac:dyDescent="0.35">
      <c r="A126" t="s">
        <v>30</v>
      </c>
      <c r="B126">
        <v>729</v>
      </c>
      <c r="C126" t="s">
        <v>45</v>
      </c>
      <c r="D126" t="s">
        <v>46</v>
      </c>
      <c r="E126" t="s">
        <v>50</v>
      </c>
      <c r="F126" t="s">
        <v>51</v>
      </c>
      <c r="G126" t="s">
        <v>52</v>
      </c>
      <c r="H126">
        <v>0.75547705594300218</v>
      </c>
      <c r="I126" t="s">
        <v>154</v>
      </c>
      <c r="J126">
        <v>36</v>
      </c>
      <c r="K126">
        <v>4</v>
      </c>
      <c r="L126">
        <v>-3.84</v>
      </c>
      <c r="M126">
        <v>3.84</v>
      </c>
    </row>
    <row r="127" spans="1:13" x14ac:dyDescent="0.35">
      <c r="A127" t="s">
        <v>106</v>
      </c>
      <c r="B127">
        <v>737</v>
      </c>
      <c r="C127" t="s">
        <v>45</v>
      </c>
      <c r="D127" t="s">
        <v>58</v>
      </c>
      <c r="E127" t="s">
        <v>47</v>
      </c>
      <c r="F127" t="s">
        <v>61</v>
      </c>
      <c r="G127" t="s">
        <v>62</v>
      </c>
      <c r="H127">
        <v>0.75443182252171559</v>
      </c>
      <c r="I127" t="s">
        <v>154</v>
      </c>
      <c r="J127">
        <v>36</v>
      </c>
      <c r="K127">
        <v>4</v>
      </c>
      <c r="L127">
        <v>-3.84</v>
      </c>
      <c r="M127">
        <v>3.84</v>
      </c>
    </row>
    <row r="128" spans="1:13" x14ac:dyDescent="0.35">
      <c r="A128" t="s">
        <v>36</v>
      </c>
      <c r="B128">
        <v>724</v>
      </c>
      <c r="C128" t="s">
        <v>45</v>
      </c>
      <c r="D128" t="s">
        <v>58</v>
      </c>
      <c r="E128" t="s">
        <v>50</v>
      </c>
      <c r="F128" t="s">
        <v>59</v>
      </c>
      <c r="G128" t="s">
        <v>60</v>
      </c>
      <c r="H128">
        <v>0.75302497952628844</v>
      </c>
      <c r="I128" t="s">
        <v>154</v>
      </c>
      <c r="J128">
        <v>36</v>
      </c>
      <c r="K128">
        <v>4</v>
      </c>
      <c r="L128">
        <v>-3.84</v>
      </c>
      <c r="M128">
        <v>3.84</v>
      </c>
    </row>
    <row r="129" spans="1:13" x14ac:dyDescent="0.35">
      <c r="A129" t="s">
        <v>23</v>
      </c>
      <c r="B129">
        <v>737</v>
      </c>
      <c r="C129" t="s">
        <v>45</v>
      </c>
      <c r="D129" t="s">
        <v>58</v>
      </c>
      <c r="E129" t="s">
        <v>47</v>
      </c>
      <c r="F129" t="s">
        <v>61</v>
      </c>
      <c r="G129" t="s">
        <v>62</v>
      </c>
      <c r="H129">
        <v>0.75235062910461104</v>
      </c>
      <c r="I129" t="s">
        <v>154</v>
      </c>
      <c r="J129">
        <v>36</v>
      </c>
      <c r="K129">
        <v>4</v>
      </c>
      <c r="L129">
        <v>-3.84</v>
      </c>
      <c r="M129">
        <v>3.84</v>
      </c>
    </row>
    <row r="130" spans="1:13" x14ac:dyDescent="0.35">
      <c r="A130" t="s">
        <v>92</v>
      </c>
      <c r="B130">
        <v>741</v>
      </c>
      <c r="C130" t="s">
        <v>45</v>
      </c>
      <c r="D130" t="s">
        <v>46</v>
      </c>
      <c r="E130" t="s">
        <v>47</v>
      </c>
      <c r="F130" t="s">
        <v>48</v>
      </c>
      <c r="G130" t="s">
        <v>49</v>
      </c>
      <c r="H130">
        <v>0.7503968490926598</v>
      </c>
      <c r="I130" t="s">
        <v>154</v>
      </c>
      <c r="J130">
        <v>36</v>
      </c>
      <c r="K130">
        <v>4</v>
      </c>
      <c r="L130">
        <v>-3.84</v>
      </c>
      <c r="M130">
        <v>3.84</v>
      </c>
    </row>
    <row r="131" spans="1:13" x14ac:dyDescent="0.35">
      <c r="A131" t="s">
        <v>25</v>
      </c>
      <c r="B131">
        <v>741</v>
      </c>
      <c r="C131" t="s">
        <v>45</v>
      </c>
      <c r="D131" t="s">
        <v>46</v>
      </c>
      <c r="E131" t="s">
        <v>47</v>
      </c>
      <c r="F131" t="s">
        <v>48</v>
      </c>
      <c r="G131" t="s">
        <v>49</v>
      </c>
      <c r="H131">
        <v>0.75027247567626232</v>
      </c>
      <c r="I131" t="s">
        <v>154</v>
      </c>
      <c r="J131">
        <v>36</v>
      </c>
      <c r="K131">
        <v>4</v>
      </c>
      <c r="L131">
        <v>-3.84</v>
      </c>
      <c r="M131">
        <v>3.84</v>
      </c>
    </row>
    <row r="132" spans="1:13" x14ac:dyDescent="0.35">
      <c r="A132" t="s">
        <v>98</v>
      </c>
      <c r="B132">
        <v>729</v>
      </c>
      <c r="C132" t="s">
        <v>45</v>
      </c>
      <c r="D132" t="s">
        <v>46</v>
      </c>
      <c r="E132" t="s">
        <v>50</v>
      </c>
      <c r="F132" t="s">
        <v>51</v>
      </c>
      <c r="G132" t="s">
        <v>52</v>
      </c>
      <c r="H132">
        <v>0.7488321280784378</v>
      </c>
      <c r="I132" t="s">
        <v>154</v>
      </c>
      <c r="J132">
        <v>36</v>
      </c>
      <c r="K132">
        <v>4</v>
      </c>
      <c r="L132">
        <v>-3.84</v>
      </c>
      <c r="M132">
        <v>3.84</v>
      </c>
    </row>
    <row r="133" spans="1:13" x14ac:dyDescent="0.35">
      <c r="A133" t="s">
        <v>98</v>
      </c>
      <c r="B133">
        <v>737</v>
      </c>
      <c r="C133" t="s">
        <v>45</v>
      </c>
      <c r="D133" t="s">
        <v>58</v>
      </c>
      <c r="E133" t="s">
        <v>47</v>
      </c>
      <c r="F133" t="s">
        <v>61</v>
      </c>
      <c r="G133" t="s">
        <v>62</v>
      </c>
      <c r="H133">
        <v>0.74858246323475675</v>
      </c>
      <c r="I133" t="s">
        <v>154</v>
      </c>
      <c r="J133">
        <v>36</v>
      </c>
      <c r="K133">
        <v>4</v>
      </c>
      <c r="L133">
        <v>-3.84</v>
      </c>
      <c r="M133">
        <v>3.84</v>
      </c>
    </row>
    <row r="134" spans="1:13" x14ac:dyDescent="0.35">
      <c r="A134" t="s">
        <v>85</v>
      </c>
      <c r="B134">
        <v>729</v>
      </c>
      <c r="C134" t="s">
        <v>45</v>
      </c>
      <c r="D134" t="s">
        <v>46</v>
      </c>
      <c r="E134" t="s">
        <v>50</v>
      </c>
      <c r="F134" t="s">
        <v>51</v>
      </c>
      <c r="G134" t="s">
        <v>52</v>
      </c>
      <c r="H134">
        <v>0.74840810212517384</v>
      </c>
      <c r="I134" t="s">
        <v>154</v>
      </c>
      <c r="J134">
        <v>36</v>
      </c>
      <c r="K134">
        <v>4</v>
      </c>
      <c r="L134">
        <v>-3.84</v>
      </c>
      <c r="M134">
        <v>3.84</v>
      </c>
    </row>
    <row r="135" spans="1:13" x14ac:dyDescent="0.35">
      <c r="A135" t="s">
        <v>109</v>
      </c>
      <c r="B135">
        <v>729</v>
      </c>
      <c r="C135" t="s">
        <v>45</v>
      </c>
      <c r="D135" t="s">
        <v>46</v>
      </c>
      <c r="E135" t="s">
        <v>50</v>
      </c>
      <c r="F135" t="s">
        <v>51</v>
      </c>
      <c r="G135" t="s">
        <v>52</v>
      </c>
      <c r="H135">
        <v>0.74764593916252098</v>
      </c>
      <c r="I135" t="s">
        <v>154</v>
      </c>
      <c r="J135">
        <v>36</v>
      </c>
      <c r="K135">
        <v>4</v>
      </c>
      <c r="L135">
        <v>-3.84</v>
      </c>
      <c r="M135">
        <v>3.84</v>
      </c>
    </row>
    <row r="136" spans="1:13" x14ac:dyDescent="0.35">
      <c r="A136" t="s">
        <v>73</v>
      </c>
      <c r="B136">
        <v>117</v>
      </c>
      <c r="C136" t="s">
        <v>18</v>
      </c>
      <c r="E136" t="s">
        <v>19</v>
      </c>
      <c r="F136" t="s">
        <v>20</v>
      </c>
      <c r="G136" t="s">
        <v>21</v>
      </c>
      <c r="H136">
        <v>0.74670475459456453</v>
      </c>
      <c r="I136" t="s">
        <v>154</v>
      </c>
      <c r="J136">
        <v>36</v>
      </c>
      <c r="K136">
        <v>4</v>
      </c>
      <c r="L136">
        <v>-3.84</v>
      </c>
      <c r="M136">
        <v>3.84</v>
      </c>
    </row>
    <row r="137" spans="1:13" x14ac:dyDescent="0.35">
      <c r="A137" t="s">
        <v>17</v>
      </c>
      <c r="B137">
        <v>729</v>
      </c>
      <c r="C137" t="s">
        <v>45</v>
      </c>
      <c r="D137" t="s">
        <v>46</v>
      </c>
      <c r="E137" t="s">
        <v>50</v>
      </c>
      <c r="F137" t="s">
        <v>51</v>
      </c>
      <c r="G137" t="s">
        <v>52</v>
      </c>
      <c r="H137">
        <v>0.74495576485455539</v>
      </c>
      <c r="I137" t="s">
        <v>154</v>
      </c>
      <c r="J137">
        <v>36</v>
      </c>
      <c r="K137">
        <v>4</v>
      </c>
      <c r="L137">
        <v>-3.84</v>
      </c>
      <c r="M137">
        <v>3.84</v>
      </c>
    </row>
    <row r="138" spans="1:13" x14ac:dyDescent="0.35">
      <c r="A138" t="s">
        <v>81</v>
      </c>
      <c r="B138">
        <v>737</v>
      </c>
      <c r="C138" t="s">
        <v>45</v>
      </c>
      <c r="D138" t="s">
        <v>58</v>
      </c>
      <c r="E138" t="s">
        <v>47</v>
      </c>
      <c r="F138" t="s">
        <v>61</v>
      </c>
      <c r="G138" t="s">
        <v>62</v>
      </c>
      <c r="H138">
        <v>0.74455292152159935</v>
      </c>
      <c r="I138" t="s">
        <v>154</v>
      </c>
      <c r="J138">
        <v>36</v>
      </c>
      <c r="K138">
        <v>4</v>
      </c>
      <c r="L138">
        <v>-3.84</v>
      </c>
      <c r="M138">
        <v>3.84</v>
      </c>
    </row>
    <row r="139" spans="1:13" x14ac:dyDescent="0.35">
      <c r="A139" t="s">
        <v>96</v>
      </c>
      <c r="B139">
        <v>117</v>
      </c>
      <c r="C139" t="s">
        <v>18</v>
      </c>
      <c r="E139" t="s">
        <v>19</v>
      </c>
      <c r="F139" t="s">
        <v>20</v>
      </c>
      <c r="G139" t="s">
        <v>21</v>
      </c>
      <c r="H139">
        <v>0.74444242456465526</v>
      </c>
      <c r="I139" t="s">
        <v>154</v>
      </c>
      <c r="J139">
        <v>36</v>
      </c>
      <c r="K139">
        <v>4</v>
      </c>
      <c r="L139">
        <v>-3.84</v>
      </c>
      <c r="M139">
        <v>3.84</v>
      </c>
    </row>
    <row r="140" spans="1:13" x14ac:dyDescent="0.35">
      <c r="A140" t="s">
        <v>33</v>
      </c>
      <c r="B140">
        <v>737</v>
      </c>
      <c r="C140" t="s">
        <v>45</v>
      </c>
      <c r="D140" t="s">
        <v>58</v>
      </c>
      <c r="E140" t="s">
        <v>47</v>
      </c>
      <c r="F140" t="s">
        <v>61</v>
      </c>
      <c r="G140" t="s">
        <v>62</v>
      </c>
      <c r="H140">
        <v>0.74356726898096581</v>
      </c>
      <c r="I140" t="s">
        <v>154</v>
      </c>
      <c r="J140">
        <v>36</v>
      </c>
      <c r="K140">
        <v>4</v>
      </c>
      <c r="L140">
        <v>-3.84</v>
      </c>
      <c r="M140">
        <v>3.84</v>
      </c>
    </row>
    <row r="141" spans="1:13" x14ac:dyDescent="0.35">
      <c r="A141" t="s">
        <v>102</v>
      </c>
      <c r="B141">
        <v>741</v>
      </c>
      <c r="C141" t="s">
        <v>45</v>
      </c>
      <c r="D141" t="s">
        <v>46</v>
      </c>
      <c r="E141" t="s">
        <v>47</v>
      </c>
      <c r="F141" t="s">
        <v>48</v>
      </c>
      <c r="G141" t="s">
        <v>49</v>
      </c>
      <c r="H141">
        <v>0.74227029904684239</v>
      </c>
      <c r="I141" t="s">
        <v>154</v>
      </c>
      <c r="J141">
        <v>36</v>
      </c>
      <c r="K141">
        <v>4</v>
      </c>
      <c r="L141">
        <v>-3.84</v>
      </c>
      <c r="M141">
        <v>3.84</v>
      </c>
    </row>
    <row r="142" spans="1:13" x14ac:dyDescent="0.35">
      <c r="A142" t="s">
        <v>81</v>
      </c>
      <c r="B142">
        <v>116</v>
      </c>
      <c r="C142" t="s">
        <v>18</v>
      </c>
      <c r="E142" t="s">
        <v>26</v>
      </c>
      <c r="F142" t="s">
        <v>27</v>
      </c>
      <c r="G142" t="s">
        <v>28</v>
      </c>
      <c r="H142">
        <v>0.73773109037349471</v>
      </c>
      <c r="I142" t="s">
        <v>154</v>
      </c>
      <c r="J142">
        <v>36</v>
      </c>
      <c r="K142">
        <v>4</v>
      </c>
      <c r="L142">
        <v>-3.84</v>
      </c>
      <c r="M142">
        <v>3.84</v>
      </c>
    </row>
    <row r="143" spans="1:13" x14ac:dyDescent="0.35">
      <c r="A143" t="s">
        <v>110</v>
      </c>
      <c r="B143">
        <v>116</v>
      </c>
      <c r="C143" t="s">
        <v>18</v>
      </c>
      <c r="E143" t="s">
        <v>26</v>
      </c>
      <c r="F143" t="s">
        <v>27</v>
      </c>
      <c r="G143" t="s">
        <v>28</v>
      </c>
      <c r="H143">
        <v>0.73762816596585012</v>
      </c>
      <c r="I143" t="s">
        <v>154</v>
      </c>
      <c r="J143">
        <v>36</v>
      </c>
      <c r="K143">
        <v>4</v>
      </c>
      <c r="L143">
        <v>-3.84</v>
      </c>
      <c r="M143">
        <v>3.84</v>
      </c>
    </row>
    <row r="144" spans="1:13" x14ac:dyDescent="0.35">
      <c r="A144" t="s">
        <v>111</v>
      </c>
      <c r="B144">
        <v>729</v>
      </c>
      <c r="C144" t="s">
        <v>45</v>
      </c>
      <c r="D144" t="s">
        <v>46</v>
      </c>
      <c r="E144" t="s">
        <v>50</v>
      </c>
      <c r="F144" t="s">
        <v>51</v>
      </c>
      <c r="G144" t="s">
        <v>52</v>
      </c>
      <c r="H144">
        <v>0.73742118024064152</v>
      </c>
      <c r="I144" t="s">
        <v>154</v>
      </c>
      <c r="J144">
        <v>36</v>
      </c>
      <c r="K144">
        <v>4</v>
      </c>
      <c r="L144">
        <v>-3.84</v>
      </c>
      <c r="M144">
        <v>3.84</v>
      </c>
    </row>
    <row r="145" spans="1:13" x14ac:dyDescent="0.35">
      <c r="A145" t="s">
        <v>71</v>
      </c>
      <c r="B145">
        <v>117</v>
      </c>
      <c r="C145" t="s">
        <v>18</v>
      </c>
      <c r="E145" t="s">
        <v>19</v>
      </c>
      <c r="F145" t="s">
        <v>20</v>
      </c>
      <c r="G145" t="s">
        <v>21</v>
      </c>
      <c r="H145">
        <v>0.73416613927230456</v>
      </c>
      <c r="I145" t="s">
        <v>154</v>
      </c>
      <c r="J145">
        <v>36</v>
      </c>
      <c r="K145">
        <v>4</v>
      </c>
      <c r="L145">
        <v>-3.84</v>
      </c>
      <c r="M145">
        <v>3.84</v>
      </c>
    </row>
    <row r="146" spans="1:13" x14ac:dyDescent="0.35">
      <c r="A146" t="s">
        <v>80</v>
      </c>
      <c r="B146">
        <v>729</v>
      </c>
      <c r="C146" t="s">
        <v>45</v>
      </c>
      <c r="D146" t="s">
        <v>46</v>
      </c>
      <c r="E146" t="s">
        <v>50</v>
      </c>
      <c r="F146" t="s">
        <v>51</v>
      </c>
      <c r="G146" t="s">
        <v>52</v>
      </c>
      <c r="H146">
        <v>0.73304501375171605</v>
      </c>
      <c r="I146" t="s">
        <v>154</v>
      </c>
      <c r="J146">
        <v>36</v>
      </c>
      <c r="K146">
        <v>4</v>
      </c>
      <c r="L146">
        <v>-3.84</v>
      </c>
      <c r="M146">
        <v>3.84</v>
      </c>
    </row>
    <row r="147" spans="1:13" x14ac:dyDescent="0.35">
      <c r="A147" t="s">
        <v>33</v>
      </c>
      <c r="B147">
        <v>729</v>
      </c>
      <c r="C147" t="s">
        <v>45</v>
      </c>
      <c r="D147" t="s">
        <v>46</v>
      </c>
      <c r="E147" t="s">
        <v>50</v>
      </c>
      <c r="F147" t="s">
        <v>51</v>
      </c>
      <c r="G147" t="s">
        <v>52</v>
      </c>
      <c r="H147">
        <v>0.73252459862704877</v>
      </c>
      <c r="I147" t="s">
        <v>154</v>
      </c>
      <c r="J147">
        <v>36</v>
      </c>
      <c r="K147">
        <v>4</v>
      </c>
      <c r="L147">
        <v>-3.84</v>
      </c>
      <c r="M147">
        <v>3.84</v>
      </c>
    </row>
    <row r="148" spans="1:13" x14ac:dyDescent="0.35">
      <c r="A148" t="s">
        <v>113</v>
      </c>
      <c r="B148">
        <v>737</v>
      </c>
      <c r="C148" t="s">
        <v>45</v>
      </c>
      <c r="D148" t="s">
        <v>58</v>
      </c>
      <c r="E148" t="s">
        <v>47</v>
      </c>
      <c r="F148" t="s">
        <v>61</v>
      </c>
      <c r="G148" t="s">
        <v>62</v>
      </c>
      <c r="H148">
        <v>0.73226659889381085</v>
      </c>
      <c r="I148" t="s">
        <v>154</v>
      </c>
      <c r="J148">
        <v>36</v>
      </c>
      <c r="K148">
        <v>4</v>
      </c>
      <c r="L148">
        <v>-3.84</v>
      </c>
      <c r="M148">
        <v>3.84</v>
      </c>
    </row>
    <row r="149" spans="1:13" x14ac:dyDescent="0.35">
      <c r="A149" t="s">
        <v>78</v>
      </c>
      <c r="B149">
        <v>741</v>
      </c>
      <c r="C149" t="s">
        <v>45</v>
      </c>
      <c r="D149" t="s">
        <v>46</v>
      </c>
      <c r="E149" t="s">
        <v>47</v>
      </c>
      <c r="F149" t="s">
        <v>48</v>
      </c>
      <c r="G149" t="s">
        <v>49</v>
      </c>
      <c r="H149">
        <v>0.7319563864196087</v>
      </c>
      <c r="I149" t="s">
        <v>154</v>
      </c>
      <c r="J149">
        <v>36</v>
      </c>
      <c r="K149">
        <v>4</v>
      </c>
      <c r="L149">
        <v>-3.84</v>
      </c>
      <c r="M149">
        <v>3.84</v>
      </c>
    </row>
    <row r="150" spans="1:13" x14ac:dyDescent="0.35">
      <c r="A150" t="s">
        <v>69</v>
      </c>
      <c r="B150">
        <v>117</v>
      </c>
      <c r="C150" t="s">
        <v>18</v>
      </c>
      <c r="E150" t="s">
        <v>19</v>
      </c>
      <c r="F150" t="s">
        <v>20</v>
      </c>
      <c r="G150" t="s">
        <v>21</v>
      </c>
      <c r="H150">
        <v>0.72856286633810474</v>
      </c>
      <c r="I150" t="s">
        <v>154</v>
      </c>
      <c r="J150">
        <v>36</v>
      </c>
      <c r="K150">
        <v>4</v>
      </c>
      <c r="L150">
        <v>-3.84</v>
      </c>
      <c r="M150">
        <v>3.84</v>
      </c>
    </row>
    <row r="151" spans="1:13" x14ac:dyDescent="0.35">
      <c r="A151" t="s">
        <v>86</v>
      </c>
      <c r="B151">
        <v>737</v>
      </c>
      <c r="C151" t="s">
        <v>45</v>
      </c>
      <c r="D151" t="s">
        <v>58</v>
      </c>
      <c r="E151" t="s">
        <v>47</v>
      </c>
      <c r="F151" t="s">
        <v>61</v>
      </c>
      <c r="G151" t="s">
        <v>62</v>
      </c>
      <c r="H151">
        <v>0.72837408103507184</v>
      </c>
      <c r="I151" t="s">
        <v>154</v>
      </c>
      <c r="J151">
        <v>36</v>
      </c>
      <c r="K151">
        <v>4</v>
      </c>
      <c r="L151">
        <v>-3.84</v>
      </c>
      <c r="M151">
        <v>3.84</v>
      </c>
    </row>
    <row r="152" spans="1:13" x14ac:dyDescent="0.35">
      <c r="A152" t="s">
        <v>73</v>
      </c>
      <c r="B152">
        <v>724</v>
      </c>
      <c r="C152" t="s">
        <v>45</v>
      </c>
      <c r="D152" t="s">
        <v>58</v>
      </c>
      <c r="E152" t="s">
        <v>50</v>
      </c>
      <c r="F152" t="s">
        <v>59</v>
      </c>
      <c r="G152" t="s">
        <v>60</v>
      </c>
      <c r="H152">
        <v>0.727620956891737</v>
      </c>
      <c r="I152" t="s">
        <v>154</v>
      </c>
      <c r="J152">
        <v>36</v>
      </c>
      <c r="K152">
        <v>4</v>
      </c>
      <c r="L152">
        <v>-3.84</v>
      </c>
      <c r="M152">
        <v>3.84</v>
      </c>
    </row>
    <row r="153" spans="1:13" x14ac:dyDescent="0.35">
      <c r="A153" t="s">
        <v>114</v>
      </c>
      <c r="B153">
        <v>737</v>
      </c>
      <c r="C153" t="s">
        <v>45</v>
      </c>
      <c r="D153" t="s">
        <v>58</v>
      </c>
      <c r="E153" t="s">
        <v>47</v>
      </c>
      <c r="F153" t="s">
        <v>61</v>
      </c>
      <c r="G153" t="s">
        <v>62</v>
      </c>
      <c r="H153">
        <v>0.7268578117578719</v>
      </c>
      <c r="I153" t="s">
        <v>154</v>
      </c>
      <c r="J153">
        <v>36</v>
      </c>
      <c r="K153">
        <v>4</v>
      </c>
      <c r="L153">
        <v>-3.84</v>
      </c>
      <c r="M153">
        <v>3.84</v>
      </c>
    </row>
    <row r="154" spans="1:13" x14ac:dyDescent="0.35">
      <c r="A154" t="s">
        <v>93</v>
      </c>
      <c r="B154">
        <v>741</v>
      </c>
      <c r="C154" t="s">
        <v>45</v>
      </c>
      <c r="D154" t="s">
        <v>46</v>
      </c>
      <c r="E154" t="s">
        <v>47</v>
      </c>
      <c r="F154" t="s">
        <v>48</v>
      </c>
      <c r="G154" t="s">
        <v>49</v>
      </c>
      <c r="H154">
        <v>0.72672558180770874</v>
      </c>
      <c r="I154" t="s">
        <v>154</v>
      </c>
      <c r="J154">
        <v>36</v>
      </c>
      <c r="K154">
        <v>4</v>
      </c>
      <c r="L154">
        <v>-3.84</v>
      </c>
      <c r="M154">
        <v>3.84</v>
      </c>
    </row>
    <row r="155" spans="1:13" x14ac:dyDescent="0.35">
      <c r="A155" t="s">
        <v>81</v>
      </c>
      <c r="B155">
        <v>724</v>
      </c>
      <c r="C155" t="s">
        <v>45</v>
      </c>
      <c r="D155" t="s">
        <v>58</v>
      </c>
      <c r="E155" t="s">
        <v>50</v>
      </c>
      <c r="F155" t="s">
        <v>59</v>
      </c>
      <c r="G155" t="s">
        <v>60</v>
      </c>
      <c r="H155">
        <v>0.72499870505552422</v>
      </c>
      <c r="I155" t="s">
        <v>154</v>
      </c>
      <c r="J155">
        <v>36</v>
      </c>
      <c r="K155">
        <v>4</v>
      </c>
      <c r="L155">
        <v>-3.84</v>
      </c>
      <c r="M155">
        <v>3.84</v>
      </c>
    </row>
    <row r="156" spans="1:13" x14ac:dyDescent="0.35">
      <c r="A156" t="s">
        <v>85</v>
      </c>
      <c r="B156">
        <v>724</v>
      </c>
      <c r="C156" t="s">
        <v>45</v>
      </c>
      <c r="D156" t="s">
        <v>58</v>
      </c>
      <c r="E156" t="s">
        <v>50</v>
      </c>
      <c r="F156" t="s">
        <v>59</v>
      </c>
      <c r="G156" t="s">
        <v>60</v>
      </c>
      <c r="H156">
        <v>0.72494078889080382</v>
      </c>
      <c r="I156" t="s">
        <v>154</v>
      </c>
      <c r="J156">
        <v>36</v>
      </c>
      <c r="K156">
        <v>4</v>
      </c>
      <c r="L156">
        <v>-3.84</v>
      </c>
      <c r="M156">
        <v>3.84</v>
      </c>
    </row>
    <row r="157" spans="1:13" x14ac:dyDescent="0.35">
      <c r="A157" t="s">
        <v>115</v>
      </c>
      <c r="B157">
        <v>116</v>
      </c>
      <c r="C157" t="s">
        <v>18</v>
      </c>
      <c r="E157" t="s">
        <v>26</v>
      </c>
      <c r="F157" t="s">
        <v>27</v>
      </c>
      <c r="G157" t="s">
        <v>28</v>
      </c>
      <c r="H157">
        <v>0.72399782609588137</v>
      </c>
      <c r="I157" t="s">
        <v>154</v>
      </c>
      <c r="J157">
        <v>36</v>
      </c>
      <c r="K157">
        <v>4</v>
      </c>
      <c r="L157">
        <v>-3.84</v>
      </c>
      <c r="M157">
        <v>3.84</v>
      </c>
    </row>
    <row r="158" spans="1:13" x14ac:dyDescent="0.35">
      <c r="A158" t="s">
        <v>96</v>
      </c>
      <c r="B158">
        <v>737</v>
      </c>
      <c r="C158" t="s">
        <v>45</v>
      </c>
      <c r="D158" t="s">
        <v>58</v>
      </c>
      <c r="E158" t="s">
        <v>47</v>
      </c>
      <c r="F158" t="s">
        <v>61</v>
      </c>
      <c r="G158" t="s">
        <v>62</v>
      </c>
      <c r="H158">
        <v>0.7237610755835604</v>
      </c>
      <c r="I158" t="s">
        <v>154</v>
      </c>
      <c r="J158">
        <v>36</v>
      </c>
      <c r="K158">
        <v>4</v>
      </c>
      <c r="L158">
        <v>-3.84</v>
      </c>
      <c r="M158">
        <v>3.84</v>
      </c>
    </row>
    <row r="159" spans="1:13" x14ac:dyDescent="0.35">
      <c r="A159" t="s">
        <v>103</v>
      </c>
      <c r="B159">
        <v>729</v>
      </c>
      <c r="C159" t="s">
        <v>45</v>
      </c>
      <c r="D159" t="s">
        <v>46</v>
      </c>
      <c r="E159" t="s">
        <v>50</v>
      </c>
      <c r="F159" t="s">
        <v>51</v>
      </c>
      <c r="G159" t="s">
        <v>52</v>
      </c>
      <c r="H159">
        <v>0.72354574909314584</v>
      </c>
      <c r="I159" t="s">
        <v>154</v>
      </c>
      <c r="J159">
        <v>36</v>
      </c>
      <c r="K159">
        <v>4</v>
      </c>
      <c r="L159">
        <v>-3.84</v>
      </c>
      <c r="M159">
        <v>3.84</v>
      </c>
    </row>
    <row r="160" spans="1:13" x14ac:dyDescent="0.35">
      <c r="A160" t="s">
        <v>77</v>
      </c>
      <c r="B160">
        <v>741</v>
      </c>
      <c r="C160" t="s">
        <v>45</v>
      </c>
      <c r="D160" t="s">
        <v>46</v>
      </c>
      <c r="E160" t="s">
        <v>47</v>
      </c>
      <c r="F160" t="s">
        <v>48</v>
      </c>
      <c r="G160" t="s">
        <v>49</v>
      </c>
      <c r="H160">
        <v>0.72138740311283567</v>
      </c>
      <c r="I160" t="s">
        <v>154</v>
      </c>
      <c r="J160">
        <v>36</v>
      </c>
      <c r="K160">
        <v>4</v>
      </c>
      <c r="L160">
        <v>-3.84</v>
      </c>
      <c r="M160">
        <v>3.84</v>
      </c>
    </row>
    <row r="161" spans="1:13" x14ac:dyDescent="0.35">
      <c r="A161" t="s">
        <v>116</v>
      </c>
      <c r="B161">
        <v>729</v>
      </c>
      <c r="C161" t="s">
        <v>45</v>
      </c>
      <c r="D161" t="s">
        <v>46</v>
      </c>
      <c r="E161" t="s">
        <v>50</v>
      </c>
      <c r="F161" t="s">
        <v>51</v>
      </c>
      <c r="G161" t="s">
        <v>52</v>
      </c>
      <c r="H161">
        <v>0.71850389693358985</v>
      </c>
      <c r="I161" t="s">
        <v>154</v>
      </c>
      <c r="J161">
        <v>36</v>
      </c>
      <c r="K161">
        <v>4</v>
      </c>
      <c r="L161">
        <v>-3.84</v>
      </c>
      <c r="M161">
        <v>3.84</v>
      </c>
    </row>
    <row r="162" spans="1:13" x14ac:dyDescent="0.35">
      <c r="A162" t="s">
        <v>117</v>
      </c>
      <c r="B162">
        <v>741</v>
      </c>
      <c r="C162" t="s">
        <v>45</v>
      </c>
      <c r="D162" t="s">
        <v>46</v>
      </c>
      <c r="E162" t="s">
        <v>47</v>
      </c>
      <c r="F162" t="s">
        <v>48</v>
      </c>
      <c r="G162" t="s">
        <v>49</v>
      </c>
      <c r="H162">
        <v>0.71498593194957494</v>
      </c>
      <c r="I162" t="s">
        <v>154</v>
      </c>
      <c r="J162">
        <v>36</v>
      </c>
      <c r="K162">
        <v>4</v>
      </c>
      <c r="L162">
        <v>-3.84</v>
      </c>
      <c r="M162">
        <v>3.84</v>
      </c>
    </row>
    <row r="163" spans="1:13" x14ac:dyDescent="0.35">
      <c r="A163" t="s">
        <v>113</v>
      </c>
      <c r="B163">
        <v>116</v>
      </c>
      <c r="C163" t="s">
        <v>18</v>
      </c>
      <c r="E163" t="s">
        <v>26</v>
      </c>
      <c r="F163" t="s">
        <v>27</v>
      </c>
      <c r="G163" t="s">
        <v>28</v>
      </c>
      <c r="H163">
        <v>0.7149813162569788</v>
      </c>
      <c r="I163" t="s">
        <v>154</v>
      </c>
      <c r="J163">
        <v>36</v>
      </c>
      <c r="K163">
        <v>4</v>
      </c>
      <c r="L163">
        <v>-3.84</v>
      </c>
      <c r="M163">
        <v>3.84</v>
      </c>
    </row>
    <row r="164" spans="1:13" x14ac:dyDescent="0.35">
      <c r="A164" t="s">
        <v>32</v>
      </c>
      <c r="B164">
        <v>741</v>
      </c>
      <c r="C164" t="s">
        <v>45</v>
      </c>
      <c r="D164" t="s">
        <v>46</v>
      </c>
      <c r="E164" t="s">
        <v>47</v>
      </c>
      <c r="F164" t="s">
        <v>48</v>
      </c>
      <c r="G164" t="s">
        <v>49</v>
      </c>
      <c r="H164">
        <v>0.71418223431565908</v>
      </c>
      <c r="I164" t="s">
        <v>154</v>
      </c>
      <c r="J164">
        <v>36</v>
      </c>
      <c r="K164">
        <v>4</v>
      </c>
      <c r="L164">
        <v>-3.84</v>
      </c>
      <c r="M164">
        <v>3.84</v>
      </c>
    </row>
    <row r="165" spans="1:13" x14ac:dyDescent="0.35">
      <c r="A165" t="s">
        <v>40</v>
      </c>
      <c r="B165">
        <v>724</v>
      </c>
      <c r="C165" t="s">
        <v>45</v>
      </c>
      <c r="D165" t="s">
        <v>58</v>
      </c>
      <c r="E165" t="s">
        <v>50</v>
      </c>
      <c r="F165" t="s">
        <v>59</v>
      </c>
      <c r="G165" t="s">
        <v>60</v>
      </c>
      <c r="H165">
        <v>0.71347966638183391</v>
      </c>
      <c r="I165" t="s">
        <v>154</v>
      </c>
      <c r="J165">
        <v>36</v>
      </c>
      <c r="K165">
        <v>4</v>
      </c>
      <c r="L165">
        <v>-3.84</v>
      </c>
      <c r="M165">
        <v>3.84</v>
      </c>
    </row>
    <row r="166" spans="1:13" x14ac:dyDescent="0.35">
      <c r="A166" t="s">
        <v>44</v>
      </c>
      <c r="B166">
        <v>737</v>
      </c>
      <c r="C166" t="s">
        <v>45</v>
      </c>
      <c r="D166" t="s">
        <v>58</v>
      </c>
      <c r="E166" t="s">
        <v>47</v>
      </c>
      <c r="F166" t="s">
        <v>61</v>
      </c>
      <c r="G166" t="s">
        <v>62</v>
      </c>
      <c r="H166">
        <v>0.71288676542102769</v>
      </c>
      <c r="I166" t="s">
        <v>154</v>
      </c>
      <c r="J166">
        <v>36</v>
      </c>
      <c r="K166">
        <v>4</v>
      </c>
      <c r="L166">
        <v>-3.84</v>
      </c>
      <c r="M166">
        <v>3.84</v>
      </c>
    </row>
    <row r="167" spans="1:13" x14ac:dyDescent="0.35">
      <c r="A167" t="s">
        <v>111</v>
      </c>
      <c r="B167">
        <v>737</v>
      </c>
      <c r="C167" t="s">
        <v>45</v>
      </c>
      <c r="D167" t="s">
        <v>58</v>
      </c>
      <c r="E167" t="s">
        <v>47</v>
      </c>
      <c r="F167" t="s">
        <v>61</v>
      </c>
      <c r="G167" t="s">
        <v>62</v>
      </c>
      <c r="H167">
        <v>0.71007653906284773</v>
      </c>
      <c r="I167" t="s">
        <v>154</v>
      </c>
      <c r="J167">
        <v>36</v>
      </c>
      <c r="K167">
        <v>4</v>
      </c>
      <c r="L167">
        <v>-3.84</v>
      </c>
      <c r="M167">
        <v>3.84</v>
      </c>
    </row>
    <row r="168" spans="1:13" x14ac:dyDescent="0.35">
      <c r="A168" t="s">
        <v>57</v>
      </c>
      <c r="B168">
        <v>116</v>
      </c>
      <c r="C168" t="s">
        <v>18</v>
      </c>
      <c r="E168" t="s">
        <v>26</v>
      </c>
      <c r="F168" t="s">
        <v>27</v>
      </c>
      <c r="G168" t="s">
        <v>28</v>
      </c>
      <c r="H168">
        <v>0.70951674604573423</v>
      </c>
      <c r="I168" t="s">
        <v>154</v>
      </c>
      <c r="J168">
        <v>36</v>
      </c>
      <c r="K168">
        <v>4</v>
      </c>
      <c r="L168">
        <v>-3.84</v>
      </c>
      <c r="M168">
        <v>3.84</v>
      </c>
    </row>
    <row r="169" spans="1:13" x14ac:dyDescent="0.35">
      <c r="A169" t="s">
        <v>118</v>
      </c>
      <c r="B169">
        <v>741</v>
      </c>
      <c r="C169" t="s">
        <v>45</v>
      </c>
      <c r="D169" t="s">
        <v>46</v>
      </c>
      <c r="E169" t="s">
        <v>47</v>
      </c>
      <c r="F169" t="s">
        <v>48</v>
      </c>
      <c r="G169" t="s">
        <v>49</v>
      </c>
      <c r="H169">
        <v>0.7081900961892108</v>
      </c>
      <c r="I169" t="s">
        <v>154</v>
      </c>
      <c r="J169">
        <v>36</v>
      </c>
      <c r="K169">
        <v>4</v>
      </c>
      <c r="L169">
        <v>-3.84</v>
      </c>
      <c r="M169">
        <v>3.84</v>
      </c>
    </row>
    <row r="170" spans="1:13" x14ac:dyDescent="0.35">
      <c r="A170" t="s">
        <v>119</v>
      </c>
      <c r="B170">
        <v>741</v>
      </c>
      <c r="C170" t="s">
        <v>45</v>
      </c>
      <c r="D170" t="s">
        <v>46</v>
      </c>
      <c r="E170" t="s">
        <v>47</v>
      </c>
      <c r="F170" t="s">
        <v>48</v>
      </c>
      <c r="G170" t="s">
        <v>49</v>
      </c>
      <c r="H170">
        <v>0.70794376099046252</v>
      </c>
      <c r="I170" t="s">
        <v>154</v>
      </c>
      <c r="J170">
        <v>36</v>
      </c>
      <c r="K170">
        <v>4</v>
      </c>
      <c r="L170">
        <v>-3.84</v>
      </c>
      <c r="M170">
        <v>3.84</v>
      </c>
    </row>
    <row r="171" spans="1:13" x14ac:dyDescent="0.35">
      <c r="A171" t="s">
        <v>85</v>
      </c>
      <c r="B171">
        <v>741</v>
      </c>
      <c r="C171" t="s">
        <v>45</v>
      </c>
      <c r="D171" t="s">
        <v>46</v>
      </c>
      <c r="E171" t="s">
        <v>47</v>
      </c>
      <c r="F171" t="s">
        <v>48</v>
      </c>
      <c r="G171" t="s">
        <v>49</v>
      </c>
      <c r="H171">
        <v>0.70723544831473384</v>
      </c>
      <c r="I171" t="s">
        <v>154</v>
      </c>
      <c r="J171">
        <v>36</v>
      </c>
      <c r="K171">
        <v>4</v>
      </c>
      <c r="L171">
        <v>-3.84</v>
      </c>
      <c r="M171">
        <v>3.84</v>
      </c>
    </row>
    <row r="172" spans="1:13" x14ac:dyDescent="0.35">
      <c r="A172" t="s">
        <v>87</v>
      </c>
      <c r="B172">
        <v>741</v>
      </c>
      <c r="C172" t="s">
        <v>45</v>
      </c>
      <c r="D172" t="s">
        <v>46</v>
      </c>
      <c r="E172" t="s">
        <v>47</v>
      </c>
      <c r="F172" t="s">
        <v>48</v>
      </c>
      <c r="G172" t="s">
        <v>49</v>
      </c>
      <c r="H172">
        <v>0.70685455519612694</v>
      </c>
      <c r="I172" t="s">
        <v>154</v>
      </c>
      <c r="J172">
        <v>36</v>
      </c>
      <c r="K172">
        <v>4</v>
      </c>
      <c r="L172">
        <v>-3.84</v>
      </c>
      <c r="M172">
        <v>3.84</v>
      </c>
    </row>
    <row r="173" spans="1:13" x14ac:dyDescent="0.35">
      <c r="A173" t="s">
        <v>111</v>
      </c>
      <c r="B173">
        <v>741</v>
      </c>
      <c r="C173" t="s">
        <v>45</v>
      </c>
      <c r="D173" t="s">
        <v>46</v>
      </c>
      <c r="E173" t="s">
        <v>47</v>
      </c>
      <c r="F173" t="s">
        <v>48</v>
      </c>
      <c r="G173" t="s">
        <v>49</v>
      </c>
      <c r="H173">
        <v>0.70611194438313296</v>
      </c>
      <c r="I173" t="s">
        <v>154</v>
      </c>
      <c r="J173">
        <v>36</v>
      </c>
      <c r="K173">
        <v>4</v>
      </c>
      <c r="L173">
        <v>-3.84</v>
      </c>
      <c r="M173">
        <v>3.84</v>
      </c>
    </row>
    <row r="174" spans="1:13" x14ac:dyDescent="0.35">
      <c r="A174" t="s">
        <v>71</v>
      </c>
      <c r="B174">
        <v>741</v>
      </c>
      <c r="C174" t="s">
        <v>45</v>
      </c>
      <c r="D174" t="s">
        <v>46</v>
      </c>
      <c r="E174" t="s">
        <v>47</v>
      </c>
      <c r="F174" t="s">
        <v>48</v>
      </c>
      <c r="G174" t="s">
        <v>49</v>
      </c>
      <c r="H174">
        <v>0.70563375527133865</v>
      </c>
      <c r="I174" t="s">
        <v>154</v>
      </c>
      <c r="J174">
        <v>36</v>
      </c>
      <c r="K174">
        <v>4</v>
      </c>
      <c r="L174">
        <v>-3.84</v>
      </c>
      <c r="M174">
        <v>3.84</v>
      </c>
    </row>
    <row r="175" spans="1:13" x14ac:dyDescent="0.35">
      <c r="A175" t="s">
        <v>68</v>
      </c>
      <c r="B175">
        <v>724</v>
      </c>
      <c r="C175" t="s">
        <v>45</v>
      </c>
      <c r="D175" t="s">
        <v>58</v>
      </c>
      <c r="E175" t="s">
        <v>50</v>
      </c>
      <c r="F175" t="s">
        <v>59</v>
      </c>
      <c r="G175" t="s">
        <v>60</v>
      </c>
      <c r="H175">
        <v>0.70552056340461433</v>
      </c>
      <c r="I175" t="s">
        <v>154</v>
      </c>
      <c r="J175">
        <v>36</v>
      </c>
      <c r="K175">
        <v>4</v>
      </c>
      <c r="L175">
        <v>-3.84</v>
      </c>
      <c r="M175">
        <v>3.84</v>
      </c>
    </row>
    <row r="176" spans="1:13" x14ac:dyDescent="0.35">
      <c r="A176" t="s">
        <v>120</v>
      </c>
      <c r="B176">
        <v>737</v>
      </c>
      <c r="C176" t="s">
        <v>45</v>
      </c>
      <c r="D176" t="s">
        <v>58</v>
      </c>
      <c r="E176" t="s">
        <v>47</v>
      </c>
      <c r="F176" t="s">
        <v>61</v>
      </c>
      <c r="G176" t="s">
        <v>62</v>
      </c>
      <c r="H176">
        <v>0.70397072146387452</v>
      </c>
      <c r="I176" t="s">
        <v>154</v>
      </c>
      <c r="J176">
        <v>36</v>
      </c>
      <c r="K176">
        <v>4</v>
      </c>
      <c r="L176">
        <v>-3.84</v>
      </c>
      <c r="M176">
        <v>3.84</v>
      </c>
    </row>
    <row r="177" spans="1:13" x14ac:dyDescent="0.35">
      <c r="A177" t="s">
        <v>17</v>
      </c>
      <c r="B177">
        <v>737</v>
      </c>
      <c r="C177" t="s">
        <v>45</v>
      </c>
      <c r="D177" t="s">
        <v>58</v>
      </c>
      <c r="E177" t="s">
        <v>47</v>
      </c>
      <c r="F177" t="s">
        <v>61</v>
      </c>
      <c r="G177" t="s">
        <v>62</v>
      </c>
      <c r="H177">
        <v>0.7033873812976329</v>
      </c>
      <c r="I177" t="s">
        <v>154</v>
      </c>
      <c r="J177">
        <v>36</v>
      </c>
      <c r="K177">
        <v>4</v>
      </c>
      <c r="L177">
        <v>-3.84</v>
      </c>
      <c r="M177">
        <v>3.84</v>
      </c>
    </row>
    <row r="178" spans="1:13" x14ac:dyDescent="0.35">
      <c r="A178" t="s">
        <v>121</v>
      </c>
      <c r="B178">
        <v>729</v>
      </c>
      <c r="C178" t="s">
        <v>45</v>
      </c>
      <c r="D178" t="s">
        <v>46</v>
      </c>
      <c r="E178" t="s">
        <v>50</v>
      </c>
      <c r="F178" t="s">
        <v>51</v>
      </c>
      <c r="G178" t="s">
        <v>52</v>
      </c>
      <c r="H178">
        <v>0.70302419040561659</v>
      </c>
      <c r="I178" t="s">
        <v>154</v>
      </c>
      <c r="J178">
        <v>36</v>
      </c>
      <c r="K178">
        <v>4</v>
      </c>
      <c r="L178">
        <v>-3.84</v>
      </c>
      <c r="M178">
        <v>3.84</v>
      </c>
    </row>
    <row r="179" spans="1:13" x14ac:dyDescent="0.35">
      <c r="A179" t="s">
        <v>110</v>
      </c>
      <c r="B179">
        <v>741</v>
      </c>
      <c r="C179" t="s">
        <v>45</v>
      </c>
      <c r="D179" t="s">
        <v>46</v>
      </c>
      <c r="E179" t="s">
        <v>47</v>
      </c>
      <c r="F179" t="s">
        <v>48</v>
      </c>
      <c r="G179" t="s">
        <v>49</v>
      </c>
      <c r="H179">
        <v>0.70082424608610683</v>
      </c>
      <c r="I179" t="s">
        <v>154</v>
      </c>
      <c r="J179">
        <v>36</v>
      </c>
      <c r="K179">
        <v>4</v>
      </c>
      <c r="L179">
        <v>-3.84</v>
      </c>
      <c r="M179">
        <v>3.84</v>
      </c>
    </row>
    <row r="180" spans="1:13" x14ac:dyDescent="0.35">
      <c r="A180" t="s">
        <v>81</v>
      </c>
      <c r="B180">
        <v>741</v>
      </c>
      <c r="C180" t="s">
        <v>45</v>
      </c>
      <c r="D180" t="s">
        <v>46</v>
      </c>
      <c r="E180" t="s">
        <v>47</v>
      </c>
      <c r="F180" t="s">
        <v>48</v>
      </c>
      <c r="G180" t="s">
        <v>49</v>
      </c>
      <c r="H180">
        <v>0.69966632133441553</v>
      </c>
      <c r="I180" t="s">
        <v>155</v>
      </c>
      <c r="J180">
        <v>36</v>
      </c>
      <c r="K180">
        <v>4</v>
      </c>
      <c r="L180">
        <v>-3.84</v>
      </c>
      <c r="M180">
        <v>3.84</v>
      </c>
    </row>
    <row r="181" spans="1:13" x14ac:dyDescent="0.35">
      <c r="A181" t="s">
        <v>96</v>
      </c>
      <c r="B181">
        <v>116</v>
      </c>
      <c r="C181" t="s">
        <v>18</v>
      </c>
      <c r="E181" t="s">
        <v>26</v>
      </c>
      <c r="F181" t="s">
        <v>27</v>
      </c>
      <c r="G181" t="s">
        <v>28</v>
      </c>
      <c r="H181">
        <v>0.69875156445066255</v>
      </c>
      <c r="I181" t="s">
        <v>155</v>
      </c>
      <c r="J181">
        <v>36</v>
      </c>
      <c r="K181">
        <v>4</v>
      </c>
      <c r="L181">
        <v>-3.84</v>
      </c>
      <c r="M181">
        <v>3.84</v>
      </c>
    </row>
    <row r="182" spans="1:13" x14ac:dyDescent="0.35">
      <c r="A182" t="s">
        <v>122</v>
      </c>
      <c r="B182">
        <v>741</v>
      </c>
      <c r="C182" t="s">
        <v>45</v>
      </c>
      <c r="D182" t="s">
        <v>46</v>
      </c>
      <c r="E182" t="s">
        <v>47</v>
      </c>
      <c r="F182" t="s">
        <v>48</v>
      </c>
      <c r="G182" t="s">
        <v>49</v>
      </c>
      <c r="H182">
        <v>0.69404051518698207</v>
      </c>
      <c r="I182" t="s">
        <v>155</v>
      </c>
      <c r="J182">
        <v>36</v>
      </c>
      <c r="K182">
        <v>4</v>
      </c>
      <c r="L182">
        <v>-3.84</v>
      </c>
      <c r="M182">
        <v>3.84</v>
      </c>
    </row>
    <row r="183" spans="1:13" x14ac:dyDescent="0.35">
      <c r="A183" t="s">
        <v>96</v>
      </c>
      <c r="B183">
        <v>729</v>
      </c>
      <c r="C183" t="s">
        <v>45</v>
      </c>
      <c r="D183" t="s">
        <v>46</v>
      </c>
      <c r="E183" t="s">
        <v>50</v>
      </c>
      <c r="F183" t="s">
        <v>51</v>
      </c>
      <c r="G183" t="s">
        <v>52</v>
      </c>
      <c r="H183">
        <v>0.69353299527236389</v>
      </c>
      <c r="I183" t="s">
        <v>155</v>
      </c>
      <c r="J183">
        <v>36</v>
      </c>
      <c r="K183">
        <v>4</v>
      </c>
      <c r="L183">
        <v>-3.84</v>
      </c>
      <c r="M183">
        <v>3.84</v>
      </c>
    </row>
    <row r="184" spans="1:13" x14ac:dyDescent="0.35">
      <c r="A184" t="s">
        <v>102</v>
      </c>
      <c r="B184">
        <v>737</v>
      </c>
      <c r="C184" t="s">
        <v>45</v>
      </c>
      <c r="D184" t="s">
        <v>58</v>
      </c>
      <c r="E184" t="s">
        <v>47</v>
      </c>
      <c r="F184" t="s">
        <v>61</v>
      </c>
      <c r="G184" t="s">
        <v>62</v>
      </c>
      <c r="H184">
        <v>0.69300153182593605</v>
      </c>
      <c r="I184" t="s">
        <v>155</v>
      </c>
      <c r="J184">
        <v>36</v>
      </c>
      <c r="K184">
        <v>4</v>
      </c>
      <c r="L184">
        <v>-3.84</v>
      </c>
      <c r="M184">
        <v>3.84</v>
      </c>
    </row>
    <row r="185" spans="1:13" x14ac:dyDescent="0.35">
      <c r="A185" t="s">
        <v>113</v>
      </c>
      <c r="B185">
        <v>741</v>
      </c>
      <c r="C185" t="s">
        <v>45</v>
      </c>
      <c r="D185" t="s">
        <v>46</v>
      </c>
      <c r="E185" t="s">
        <v>47</v>
      </c>
      <c r="F185" t="s">
        <v>48</v>
      </c>
      <c r="G185" t="s">
        <v>49</v>
      </c>
      <c r="H185">
        <v>0.68965088460460244</v>
      </c>
      <c r="I185" t="s">
        <v>155</v>
      </c>
      <c r="J185">
        <v>36</v>
      </c>
      <c r="K185">
        <v>4</v>
      </c>
      <c r="L185">
        <v>-3.84</v>
      </c>
      <c r="M185">
        <v>3.84</v>
      </c>
    </row>
    <row r="186" spans="1:13" x14ac:dyDescent="0.35">
      <c r="A186" t="s">
        <v>53</v>
      </c>
      <c r="B186">
        <v>741</v>
      </c>
      <c r="C186" t="s">
        <v>45</v>
      </c>
      <c r="D186" t="s">
        <v>46</v>
      </c>
      <c r="E186" t="s">
        <v>47</v>
      </c>
      <c r="F186" t="s">
        <v>48</v>
      </c>
      <c r="G186" t="s">
        <v>49</v>
      </c>
      <c r="H186">
        <v>0.68945473287828674</v>
      </c>
      <c r="I186" t="s">
        <v>155</v>
      </c>
      <c r="J186">
        <v>36</v>
      </c>
      <c r="K186">
        <v>4</v>
      </c>
      <c r="L186">
        <v>-3.84</v>
      </c>
      <c r="M186">
        <v>3.84</v>
      </c>
    </row>
    <row r="187" spans="1:13" x14ac:dyDescent="0.35">
      <c r="A187" t="s">
        <v>110</v>
      </c>
      <c r="B187">
        <v>737</v>
      </c>
      <c r="C187" t="s">
        <v>45</v>
      </c>
      <c r="D187" t="s">
        <v>58</v>
      </c>
      <c r="E187" t="s">
        <v>47</v>
      </c>
      <c r="F187" t="s">
        <v>61</v>
      </c>
      <c r="G187" t="s">
        <v>62</v>
      </c>
      <c r="H187">
        <v>0.68853644067929698</v>
      </c>
      <c r="I187" t="s">
        <v>155</v>
      </c>
      <c r="J187">
        <v>36</v>
      </c>
      <c r="K187">
        <v>4</v>
      </c>
      <c r="L187">
        <v>-3.84</v>
      </c>
      <c r="M187">
        <v>3.84</v>
      </c>
    </row>
    <row r="188" spans="1:13" x14ac:dyDescent="0.35">
      <c r="A188" t="s">
        <v>123</v>
      </c>
      <c r="B188">
        <v>117</v>
      </c>
      <c r="C188" t="s">
        <v>18</v>
      </c>
      <c r="E188" t="s">
        <v>19</v>
      </c>
      <c r="F188" t="s">
        <v>20</v>
      </c>
      <c r="G188" t="s">
        <v>21</v>
      </c>
      <c r="H188">
        <v>0.68722573153814981</v>
      </c>
      <c r="I188" t="s">
        <v>155</v>
      </c>
      <c r="J188">
        <v>36</v>
      </c>
      <c r="K188">
        <v>4</v>
      </c>
      <c r="L188">
        <v>-3.84</v>
      </c>
      <c r="M188">
        <v>3.84</v>
      </c>
    </row>
    <row r="189" spans="1:13" x14ac:dyDescent="0.35">
      <c r="A189" t="s">
        <v>124</v>
      </c>
      <c r="B189">
        <v>729</v>
      </c>
      <c r="C189" t="s">
        <v>45</v>
      </c>
      <c r="D189" t="s">
        <v>46</v>
      </c>
      <c r="E189" t="s">
        <v>50</v>
      </c>
      <c r="F189" t="s">
        <v>51</v>
      </c>
      <c r="G189" t="s">
        <v>52</v>
      </c>
      <c r="H189">
        <v>0.68668278940939664</v>
      </c>
      <c r="I189" t="s">
        <v>155</v>
      </c>
      <c r="J189">
        <v>36</v>
      </c>
      <c r="K189">
        <v>4</v>
      </c>
      <c r="L189">
        <v>-3.84</v>
      </c>
      <c r="M189">
        <v>3.84</v>
      </c>
    </row>
    <row r="190" spans="1:13" x14ac:dyDescent="0.35">
      <c r="A190" t="s">
        <v>122</v>
      </c>
      <c r="B190">
        <v>729</v>
      </c>
      <c r="C190" t="s">
        <v>45</v>
      </c>
      <c r="D190" t="s">
        <v>46</v>
      </c>
      <c r="E190" t="s">
        <v>50</v>
      </c>
      <c r="F190" t="s">
        <v>51</v>
      </c>
      <c r="G190" t="s">
        <v>52</v>
      </c>
      <c r="H190">
        <v>0.68184786352887716</v>
      </c>
      <c r="I190" t="s">
        <v>155</v>
      </c>
      <c r="J190">
        <v>36</v>
      </c>
      <c r="K190">
        <v>4</v>
      </c>
      <c r="L190">
        <v>-3.84</v>
      </c>
      <c r="M190">
        <v>3.84</v>
      </c>
    </row>
    <row r="191" spans="1:13" x14ac:dyDescent="0.35">
      <c r="A191" t="s">
        <v>87</v>
      </c>
      <c r="B191">
        <v>729</v>
      </c>
      <c r="C191" t="s">
        <v>45</v>
      </c>
      <c r="D191" t="s">
        <v>46</v>
      </c>
      <c r="E191" t="s">
        <v>50</v>
      </c>
      <c r="F191" t="s">
        <v>51</v>
      </c>
      <c r="G191" t="s">
        <v>52</v>
      </c>
      <c r="H191">
        <v>0.68166194896124821</v>
      </c>
      <c r="I191" t="s">
        <v>155</v>
      </c>
      <c r="J191">
        <v>36</v>
      </c>
      <c r="K191">
        <v>4</v>
      </c>
      <c r="L191">
        <v>-3.84</v>
      </c>
      <c r="M191">
        <v>3.84</v>
      </c>
    </row>
    <row r="192" spans="1:13" x14ac:dyDescent="0.35">
      <c r="A192" t="s">
        <v>125</v>
      </c>
      <c r="B192">
        <v>741</v>
      </c>
      <c r="C192" t="s">
        <v>45</v>
      </c>
      <c r="D192" t="s">
        <v>46</v>
      </c>
      <c r="E192" t="s">
        <v>47</v>
      </c>
      <c r="F192" t="s">
        <v>48</v>
      </c>
      <c r="G192" t="s">
        <v>49</v>
      </c>
      <c r="H192">
        <v>0.67762954051352753</v>
      </c>
      <c r="I192" t="s">
        <v>155</v>
      </c>
      <c r="J192">
        <v>36</v>
      </c>
      <c r="K192">
        <v>4</v>
      </c>
      <c r="L192">
        <v>-3.84</v>
      </c>
      <c r="M192">
        <v>3.84</v>
      </c>
    </row>
    <row r="193" spans="1:13" x14ac:dyDescent="0.35">
      <c r="A193" t="s">
        <v>126</v>
      </c>
      <c r="B193">
        <v>737</v>
      </c>
      <c r="C193" t="s">
        <v>45</v>
      </c>
      <c r="D193" t="s">
        <v>58</v>
      </c>
      <c r="E193" t="s">
        <v>47</v>
      </c>
      <c r="F193" t="s">
        <v>61</v>
      </c>
      <c r="G193" t="s">
        <v>62</v>
      </c>
      <c r="H193">
        <v>0.67730972483484353</v>
      </c>
      <c r="I193" t="s">
        <v>155</v>
      </c>
      <c r="J193">
        <v>36</v>
      </c>
      <c r="K193">
        <v>4</v>
      </c>
      <c r="L193">
        <v>-3.84</v>
      </c>
      <c r="M193">
        <v>3.84</v>
      </c>
    </row>
    <row r="194" spans="1:13" x14ac:dyDescent="0.35">
      <c r="A194" t="s">
        <v>54</v>
      </c>
      <c r="B194">
        <v>729</v>
      </c>
      <c r="C194" t="s">
        <v>45</v>
      </c>
      <c r="D194" t="s">
        <v>46</v>
      </c>
      <c r="E194" t="s">
        <v>50</v>
      </c>
      <c r="F194" t="s">
        <v>51</v>
      </c>
      <c r="G194" t="s">
        <v>52</v>
      </c>
      <c r="H194">
        <v>0.67720254519582168</v>
      </c>
      <c r="I194" t="s">
        <v>155</v>
      </c>
      <c r="J194">
        <v>36</v>
      </c>
      <c r="K194">
        <v>4</v>
      </c>
      <c r="L194">
        <v>-3.84</v>
      </c>
      <c r="M194">
        <v>3.84</v>
      </c>
    </row>
    <row r="195" spans="1:13" x14ac:dyDescent="0.35">
      <c r="A195" t="s">
        <v>106</v>
      </c>
      <c r="B195">
        <v>729</v>
      </c>
      <c r="C195" t="s">
        <v>45</v>
      </c>
      <c r="D195" t="s">
        <v>46</v>
      </c>
      <c r="E195" t="s">
        <v>50</v>
      </c>
      <c r="F195" t="s">
        <v>51</v>
      </c>
      <c r="G195" t="s">
        <v>52</v>
      </c>
      <c r="H195">
        <v>0.67576846684092662</v>
      </c>
      <c r="I195" t="s">
        <v>155</v>
      </c>
      <c r="J195">
        <v>36</v>
      </c>
      <c r="K195">
        <v>4</v>
      </c>
      <c r="L195">
        <v>-3.84</v>
      </c>
      <c r="M195">
        <v>3.84</v>
      </c>
    </row>
    <row r="196" spans="1:13" x14ac:dyDescent="0.35">
      <c r="A196" t="s">
        <v>127</v>
      </c>
      <c r="B196">
        <v>116</v>
      </c>
      <c r="C196" t="s">
        <v>18</v>
      </c>
      <c r="E196" t="s">
        <v>26</v>
      </c>
      <c r="F196" t="s">
        <v>27</v>
      </c>
      <c r="G196" t="s">
        <v>28</v>
      </c>
      <c r="H196">
        <v>0.67513390981823462</v>
      </c>
      <c r="I196" t="s">
        <v>155</v>
      </c>
      <c r="J196">
        <v>36</v>
      </c>
      <c r="K196">
        <v>4</v>
      </c>
      <c r="L196">
        <v>-3.84</v>
      </c>
      <c r="M196">
        <v>3.84</v>
      </c>
    </row>
    <row r="197" spans="1:13" x14ac:dyDescent="0.35">
      <c r="A197" t="s">
        <v>128</v>
      </c>
      <c r="B197">
        <v>117</v>
      </c>
      <c r="C197" t="s">
        <v>18</v>
      </c>
      <c r="E197" t="s">
        <v>19</v>
      </c>
      <c r="F197" t="s">
        <v>20</v>
      </c>
      <c r="G197" t="s">
        <v>21</v>
      </c>
      <c r="H197">
        <v>0.6735638920521374</v>
      </c>
      <c r="I197" t="s">
        <v>155</v>
      </c>
      <c r="J197">
        <v>36</v>
      </c>
      <c r="K197">
        <v>4</v>
      </c>
      <c r="L197">
        <v>-3.84</v>
      </c>
      <c r="M197">
        <v>3.84</v>
      </c>
    </row>
    <row r="198" spans="1:13" x14ac:dyDescent="0.35">
      <c r="A198" t="s">
        <v>119</v>
      </c>
      <c r="B198">
        <v>737</v>
      </c>
      <c r="C198" t="s">
        <v>45</v>
      </c>
      <c r="D198" t="s">
        <v>58</v>
      </c>
      <c r="E198" t="s">
        <v>47</v>
      </c>
      <c r="F198" t="s">
        <v>61</v>
      </c>
      <c r="G198" t="s">
        <v>62</v>
      </c>
      <c r="H198">
        <v>0.67221614897787796</v>
      </c>
      <c r="I198" t="s">
        <v>155</v>
      </c>
      <c r="J198">
        <v>36</v>
      </c>
      <c r="K198">
        <v>4</v>
      </c>
      <c r="L198">
        <v>-3.84</v>
      </c>
      <c r="M198">
        <v>3.84</v>
      </c>
    </row>
    <row r="199" spans="1:13" x14ac:dyDescent="0.35">
      <c r="A199" t="s">
        <v>125</v>
      </c>
      <c r="B199">
        <v>729</v>
      </c>
      <c r="C199" t="s">
        <v>45</v>
      </c>
      <c r="D199" t="s">
        <v>46</v>
      </c>
      <c r="E199" t="s">
        <v>50</v>
      </c>
      <c r="F199" t="s">
        <v>51</v>
      </c>
      <c r="G199" t="s">
        <v>52</v>
      </c>
      <c r="H199">
        <v>0.67200932420440473</v>
      </c>
      <c r="I199" t="s">
        <v>155</v>
      </c>
      <c r="J199">
        <v>36</v>
      </c>
      <c r="K199">
        <v>4</v>
      </c>
      <c r="L199">
        <v>-3.84</v>
      </c>
      <c r="M199">
        <v>3.84</v>
      </c>
    </row>
    <row r="200" spans="1:13" x14ac:dyDescent="0.35">
      <c r="A200" t="s">
        <v>77</v>
      </c>
      <c r="B200">
        <v>729</v>
      </c>
      <c r="C200" t="s">
        <v>45</v>
      </c>
      <c r="D200" t="s">
        <v>46</v>
      </c>
      <c r="E200" t="s">
        <v>50</v>
      </c>
      <c r="F200" t="s">
        <v>51</v>
      </c>
      <c r="G200" t="s">
        <v>52</v>
      </c>
      <c r="H200">
        <v>0.66983071652481463</v>
      </c>
      <c r="I200" t="s">
        <v>155</v>
      </c>
      <c r="J200">
        <v>36</v>
      </c>
      <c r="K200">
        <v>4</v>
      </c>
      <c r="L200">
        <v>-3.84</v>
      </c>
      <c r="M200">
        <v>3.84</v>
      </c>
    </row>
    <row r="201" spans="1:13" x14ac:dyDescent="0.35">
      <c r="A201" t="s">
        <v>78</v>
      </c>
      <c r="B201">
        <v>737</v>
      </c>
      <c r="C201" t="s">
        <v>45</v>
      </c>
      <c r="D201" t="s">
        <v>58</v>
      </c>
      <c r="E201" t="s">
        <v>47</v>
      </c>
      <c r="F201" t="s">
        <v>61</v>
      </c>
      <c r="G201" t="s">
        <v>62</v>
      </c>
      <c r="H201">
        <v>0.6695435987158026</v>
      </c>
      <c r="I201" t="s">
        <v>155</v>
      </c>
      <c r="J201">
        <v>36</v>
      </c>
      <c r="K201">
        <v>4</v>
      </c>
      <c r="L201">
        <v>-3.84</v>
      </c>
      <c r="M201">
        <v>3.84</v>
      </c>
    </row>
    <row r="202" spans="1:13" x14ac:dyDescent="0.35">
      <c r="A202" t="s">
        <v>113</v>
      </c>
      <c r="B202">
        <v>724</v>
      </c>
      <c r="C202" t="s">
        <v>45</v>
      </c>
      <c r="D202" t="s">
        <v>58</v>
      </c>
      <c r="E202" t="s">
        <v>50</v>
      </c>
      <c r="F202" t="s">
        <v>59</v>
      </c>
      <c r="G202" t="s">
        <v>60</v>
      </c>
      <c r="H202">
        <v>0.66951617597019797</v>
      </c>
      <c r="I202" t="s">
        <v>155</v>
      </c>
      <c r="J202">
        <v>36</v>
      </c>
      <c r="K202">
        <v>4</v>
      </c>
      <c r="L202">
        <v>-3.84</v>
      </c>
      <c r="M202">
        <v>3.84</v>
      </c>
    </row>
    <row r="203" spans="1:13" x14ac:dyDescent="0.35">
      <c r="A203" t="s">
        <v>99</v>
      </c>
      <c r="B203">
        <v>729</v>
      </c>
      <c r="C203" t="s">
        <v>45</v>
      </c>
      <c r="D203" t="s">
        <v>46</v>
      </c>
      <c r="E203" t="s">
        <v>50</v>
      </c>
      <c r="F203" t="s">
        <v>51</v>
      </c>
      <c r="G203" t="s">
        <v>52</v>
      </c>
      <c r="H203">
        <v>0.6667593853665561</v>
      </c>
      <c r="I203" t="s">
        <v>155</v>
      </c>
      <c r="J203">
        <v>36</v>
      </c>
      <c r="K203">
        <v>4</v>
      </c>
      <c r="L203">
        <v>-3.84</v>
      </c>
      <c r="M203">
        <v>3.84</v>
      </c>
    </row>
    <row r="204" spans="1:13" x14ac:dyDescent="0.35">
      <c r="A204" t="s">
        <v>100</v>
      </c>
      <c r="B204">
        <v>117</v>
      </c>
      <c r="C204" t="s">
        <v>18</v>
      </c>
      <c r="E204" t="s">
        <v>19</v>
      </c>
      <c r="F204" t="s">
        <v>20</v>
      </c>
      <c r="G204" t="s">
        <v>21</v>
      </c>
      <c r="H204">
        <v>0.66501716901102037</v>
      </c>
      <c r="I204" t="s">
        <v>155</v>
      </c>
      <c r="J204">
        <v>36</v>
      </c>
      <c r="K204">
        <v>4</v>
      </c>
      <c r="L204">
        <v>-3.84</v>
      </c>
      <c r="M204">
        <v>3.84</v>
      </c>
    </row>
    <row r="205" spans="1:13" x14ac:dyDescent="0.35">
      <c r="A205" t="s">
        <v>30</v>
      </c>
      <c r="B205">
        <v>737</v>
      </c>
      <c r="C205" t="s">
        <v>45</v>
      </c>
      <c r="D205" t="s">
        <v>58</v>
      </c>
      <c r="E205" t="s">
        <v>47</v>
      </c>
      <c r="F205" t="s">
        <v>61</v>
      </c>
      <c r="G205" t="s">
        <v>62</v>
      </c>
      <c r="H205">
        <v>0.66179526515535692</v>
      </c>
      <c r="I205" t="s">
        <v>155</v>
      </c>
      <c r="J205">
        <v>36</v>
      </c>
      <c r="K205">
        <v>4</v>
      </c>
      <c r="L205">
        <v>-3.84</v>
      </c>
      <c r="M205">
        <v>3.84</v>
      </c>
    </row>
    <row r="206" spans="1:13" x14ac:dyDescent="0.35">
      <c r="A206" t="s">
        <v>81</v>
      </c>
      <c r="B206">
        <v>729</v>
      </c>
      <c r="C206" t="s">
        <v>45</v>
      </c>
      <c r="D206" t="s">
        <v>46</v>
      </c>
      <c r="E206" t="s">
        <v>50</v>
      </c>
      <c r="F206" t="s">
        <v>51</v>
      </c>
      <c r="G206" t="s">
        <v>52</v>
      </c>
      <c r="H206">
        <v>0.66122913040341358</v>
      </c>
      <c r="I206" t="s">
        <v>155</v>
      </c>
      <c r="J206">
        <v>36</v>
      </c>
      <c r="K206">
        <v>4</v>
      </c>
      <c r="L206">
        <v>-3.84</v>
      </c>
      <c r="M206">
        <v>3.84</v>
      </c>
    </row>
    <row r="207" spans="1:13" x14ac:dyDescent="0.35">
      <c r="A207" t="s">
        <v>108</v>
      </c>
      <c r="B207">
        <v>116</v>
      </c>
      <c r="C207" t="s">
        <v>18</v>
      </c>
      <c r="E207" t="s">
        <v>26</v>
      </c>
      <c r="F207" t="s">
        <v>27</v>
      </c>
      <c r="G207" t="s">
        <v>28</v>
      </c>
      <c r="H207">
        <v>0.6598662279727715</v>
      </c>
      <c r="I207" t="s">
        <v>155</v>
      </c>
      <c r="J207">
        <v>36</v>
      </c>
      <c r="K207">
        <v>4</v>
      </c>
      <c r="L207">
        <v>-3.84</v>
      </c>
      <c r="M207">
        <v>3.84</v>
      </c>
    </row>
    <row r="208" spans="1:13" x14ac:dyDescent="0.35">
      <c r="A208" t="s">
        <v>36</v>
      </c>
      <c r="B208">
        <v>737</v>
      </c>
      <c r="C208" t="s">
        <v>45</v>
      </c>
      <c r="D208" t="s">
        <v>58</v>
      </c>
      <c r="E208" t="s">
        <v>47</v>
      </c>
      <c r="F208" t="s">
        <v>61</v>
      </c>
      <c r="G208" t="s">
        <v>62</v>
      </c>
      <c r="H208">
        <v>0.65924476658608155</v>
      </c>
      <c r="I208" t="s">
        <v>155</v>
      </c>
      <c r="J208">
        <v>36</v>
      </c>
      <c r="K208">
        <v>4</v>
      </c>
      <c r="L208">
        <v>-3.84</v>
      </c>
      <c r="M208">
        <v>3.84</v>
      </c>
    </row>
    <row r="209" spans="1:13" x14ac:dyDescent="0.35">
      <c r="A209" t="s">
        <v>54</v>
      </c>
      <c r="B209">
        <v>741</v>
      </c>
      <c r="C209" t="s">
        <v>45</v>
      </c>
      <c r="D209" t="s">
        <v>46</v>
      </c>
      <c r="E209" t="s">
        <v>47</v>
      </c>
      <c r="F209" t="s">
        <v>48</v>
      </c>
      <c r="G209" t="s">
        <v>49</v>
      </c>
      <c r="H209">
        <v>0.65688940053607747</v>
      </c>
      <c r="I209" t="s">
        <v>155</v>
      </c>
      <c r="J209">
        <v>36</v>
      </c>
      <c r="K209">
        <v>4</v>
      </c>
      <c r="L209">
        <v>-3.84</v>
      </c>
      <c r="M209">
        <v>3.84</v>
      </c>
    </row>
    <row r="210" spans="1:13" x14ac:dyDescent="0.35">
      <c r="A210" t="s">
        <v>129</v>
      </c>
      <c r="B210">
        <v>741</v>
      </c>
      <c r="C210" t="s">
        <v>45</v>
      </c>
      <c r="D210" t="s">
        <v>46</v>
      </c>
      <c r="E210" t="s">
        <v>47</v>
      </c>
      <c r="F210" t="s">
        <v>48</v>
      </c>
      <c r="G210" t="s">
        <v>49</v>
      </c>
      <c r="H210">
        <v>0.65657388027742203</v>
      </c>
      <c r="I210" t="s">
        <v>155</v>
      </c>
      <c r="J210">
        <v>36</v>
      </c>
      <c r="K210">
        <v>4</v>
      </c>
      <c r="L210">
        <v>-3.84</v>
      </c>
      <c r="M210">
        <v>3.84</v>
      </c>
    </row>
    <row r="211" spans="1:13" x14ac:dyDescent="0.35">
      <c r="A211" t="s">
        <v>54</v>
      </c>
      <c r="B211">
        <v>737</v>
      </c>
      <c r="C211" t="s">
        <v>45</v>
      </c>
      <c r="D211" t="s">
        <v>58</v>
      </c>
      <c r="E211" t="s">
        <v>47</v>
      </c>
      <c r="F211" t="s">
        <v>61</v>
      </c>
      <c r="G211" t="s">
        <v>62</v>
      </c>
      <c r="H211">
        <v>0.65559378301627147</v>
      </c>
      <c r="I211" t="s">
        <v>155</v>
      </c>
      <c r="J211">
        <v>36</v>
      </c>
      <c r="K211">
        <v>4</v>
      </c>
      <c r="L211">
        <v>-3.84</v>
      </c>
      <c r="M211">
        <v>3.84</v>
      </c>
    </row>
    <row r="212" spans="1:13" x14ac:dyDescent="0.35">
      <c r="A212" t="s">
        <v>130</v>
      </c>
      <c r="B212">
        <v>741</v>
      </c>
      <c r="C212" t="s">
        <v>45</v>
      </c>
      <c r="D212" t="s">
        <v>46</v>
      </c>
      <c r="E212" t="s">
        <v>47</v>
      </c>
      <c r="F212" t="s">
        <v>48</v>
      </c>
      <c r="G212" t="s">
        <v>49</v>
      </c>
      <c r="H212">
        <v>0.65249673951214404</v>
      </c>
      <c r="I212" t="s">
        <v>155</v>
      </c>
      <c r="J212">
        <v>36</v>
      </c>
      <c r="K212">
        <v>4</v>
      </c>
      <c r="L212">
        <v>-3.84</v>
      </c>
      <c r="M212">
        <v>3.84</v>
      </c>
    </row>
    <row r="213" spans="1:13" x14ac:dyDescent="0.35">
      <c r="A213" t="s">
        <v>55</v>
      </c>
      <c r="B213">
        <v>729</v>
      </c>
      <c r="C213" t="s">
        <v>45</v>
      </c>
      <c r="D213" t="s">
        <v>46</v>
      </c>
      <c r="E213" t="s">
        <v>50</v>
      </c>
      <c r="F213" t="s">
        <v>51</v>
      </c>
      <c r="G213" t="s">
        <v>52</v>
      </c>
      <c r="H213">
        <v>0.65241119848336482</v>
      </c>
      <c r="I213" t="s">
        <v>155</v>
      </c>
      <c r="J213">
        <v>36</v>
      </c>
      <c r="K213">
        <v>4</v>
      </c>
      <c r="L213">
        <v>-3.84</v>
      </c>
      <c r="M213">
        <v>3.84</v>
      </c>
    </row>
    <row r="214" spans="1:13" x14ac:dyDescent="0.35">
      <c r="A214" t="s">
        <v>71</v>
      </c>
      <c r="B214">
        <v>729</v>
      </c>
      <c r="C214" t="s">
        <v>45</v>
      </c>
      <c r="D214" t="s">
        <v>46</v>
      </c>
      <c r="E214" t="s">
        <v>50</v>
      </c>
      <c r="F214" t="s">
        <v>51</v>
      </c>
      <c r="G214" t="s">
        <v>52</v>
      </c>
      <c r="H214">
        <v>0.65207972937793801</v>
      </c>
      <c r="I214" t="s">
        <v>155</v>
      </c>
      <c r="J214">
        <v>36</v>
      </c>
      <c r="K214">
        <v>4</v>
      </c>
      <c r="L214">
        <v>-3.84</v>
      </c>
      <c r="M214">
        <v>3.84</v>
      </c>
    </row>
    <row r="215" spans="1:13" x14ac:dyDescent="0.35">
      <c r="A215" t="s">
        <v>119</v>
      </c>
      <c r="B215">
        <v>724</v>
      </c>
      <c r="C215" t="s">
        <v>45</v>
      </c>
      <c r="D215" t="s">
        <v>58</v>
      </c>
      <c r="E215" t="s">
        <v>50</v>
      </c>
      <c r="F215" t="s">
        <v>59</v>
      </c>
      <c r="G215" t="s">
        <v>60</v>
      </c>
      <c r="H215">
        <v>0.65112986373844817</v>
      </c>
      <c r="I215" t="s">
        <v>155</v>
      </c>
      <c r="J215">
        <v>36</v>
      </c>
      <c r="K215">
        <v>4</v>
      </c>
      <c r="L215">
        <v>-3.84</v>
      </c>
      <c r="M215">
        <v>3.84</v>
      </c>
    </row>
    <row r="216" spans="1:13" x14ac:dyDescent="0.35">
      <c r="A216" t="s">
        <v>131</v>
      </c>
      <c r="B216">
        <v>741</v>
      </c>
      <c r="C216" t="s">
        <v>45</v>
      </c>
      <c r="D216" t="s">
        <v>46</v>
      </c>
      <c r="E216" t="s">
        <v>47</v>
      </c>
      <c r="F216" t="s">
        <v>48</v>
      </c>
      <c r="G216" t="s">
        <v>49</v>
      </c>
      <c r="H216">
        <v>0.64900931921412675</v>
      </c>
      <c r="I216" t="s">
        <v>155</v>
      </c>
      <c r="J216">
        <v>36</v>
      </c>
      <c r="K216">
        <v>4</v>
      </c>
      <c r="L216">
        <v>-3.84</v>
      </c>
      <c r="M216">
        <v>3.84</v>
      </c>
    </row>
    <row r="217" spans="1:13" x14ac:dyDescent="0.35">
      <c r="A217" t="s">
        <v>90</v>
      </c>
      <c r="B217">
        <v>117</v>
      </c>
      <c r="C217" t="s">
        <v>18</v>
      </c>
      <c r="E217" t="s">
        <v>19</v>
      </c>
      <c r="F217" t="s">
        <v>20</v>
      </c>
      <c r="G217" t="s">
        <v>21</v>
      </c>
      <c r="H217">
        <v>0.64698198559564435</v>
      </c>
      <c r="I217" t="s">
        <v>155</v>
      </c>
      <c r="J217">
        <v>36</v>
      </c>
      <c r="K217">
        <v>4</v>
      </c>
      <c r="L217">
        <v>-3.84</v>
      </c>
      <c r="M217">
        <v>3.84</v>
      </c>
    </row>
    <row r="218" spans="1:13" x14ac:dyDescent="0.35">
      <c r="A218" t="s">
        <v>66</v>
      </c>
      <c r="B218">
        <v>117</v>
      </c>
      <c r="C218" t="s">
        <v>18</v>
      </c>
      <c r="E218" t="s">
        <v>19</v>
      </c>
      <c r="F218" t="s">
        <v>20</v>
      </c>
      <c r="G218" t="s">
        <v>21</v>
      </c>
      <c r="H218">
        <v>0.6467472962202957</v>
      </c>
      <c r="I218" t="s">
        <v>155</v>
      </c>
      <c r="J218">
        <v>36</v>
      </c>
      <c r="K218">
        <v>4</v>
      </c>
      <c r="L218">
        <v>-3.84</v>
      </c>
      <c r="M218">
        <v>3.84</v>
      </c>
    </row>
    <row r="219" spans="1:13" x14ac:dyDescent="0.35">
      <c r="A219" t="s">
        <v>132</v>
      </c>
      <c r="B219">
        <v>737</v>
      </c>
      <c r="C219" t="s">
        <v>45</v>
      </c>
      <c r="D219" t="s">
        <v>58</v>
      </c>
      <c r="E219" t="s">
        <v>47</v>
      </c>
      <c r="F219" t="s">
        <v>61</v>
      </c>
      <c r="G219" t="s">
        <v>62</v>
      </c>
      <c r="H219">
        <v>0.64613753759084747</v>
      </c>
      <c r="I219" t="s">
        <v>155</v>
      </c>
      <c r="J219">
        <v>36</v>
      </c>
      <c r="K219">
        <v>4</v>
      </c>
      <c r="L219">
        <v>-3.84</v>
      </c>
      <c r="M219">
        <v>3.84</v>
      </c>
    </row>
    <row r="220" spans="1:13" x14ac:dyDescent="0.35">
      <c r="A220" t="s">
        <v>86</v>
      </c>
      <c r="B220">
        <v>741</v>
      </c>
      <c r="C220" t="s">
        <v>45</v>
      </c>
      <c r="D220" t="s">
        <v>46</v>
      </c>
      <c r="E220" t="s">
        <v>47</v>
      </c>
      <c r="F220" t="s">
        <v>48</v>
      </c>
      <c r="G220" t="s">
        <v>49</v>
      </c>
      <c r="H220">
        <v>0.64549862593357443</v>
      </c>
      <c r="I220" t="s">
        <v>155</v>
      </c>
      <c r="J220">
        <v>36</v>
      </c>
      <c r="K220">
        <v>4</v>
      </c>
      <c r="L220">
        <v>-3.84</v>
      </c>
      <c r="M220">
        <v>3.84</v>
      </c>
    </row>
    <row r="221" spans="1:13" x14ac:dyDescent="0.35">
      <c r="A221" t="s">
        <v>110</v>
      </c>
      <c r="B221">
        <v>724</v>
      </c>
      <c r="C221" t="s">
        <v>45</v>
      </c>
      <c r="D221" t="s">
        <v>58</v>
      </c>
      <c r="E221" t="s">
        <v>50</v>
      </c>
      <c r="F221" t="s">
        <v>59</v>
      </c>
      <c r="G221" t="s">
        <v>60</v>
      </c>
      <c r="H221">
        <v>0.64424574602328999</v>
      </c>
      <c r="I221" t="s">
        <v>155</v>
      </c>
      <c r="J221">
        <v>36</v>
      </c>
      <c r="K221">
        <v>4</v>
      </c>
      <c r="L221">
        <v>-3.84</v>
      </c>
      <c r="M221">
        <v>3.84</v>
      </c>
    </row>
    <row r="222" spans="1:13" x14ac:dyDescent="0.35">
      <c r="A222" t="s">
        <v>84</v>
      </c>
      <c r="B222">
        <v>741</v>
      </c>
      <c r="C222" t="s">
        <v>45</v>
      </c>
      <c r="D222" t="s">
        <v>46</v>
      </c>
      <c r="E222" t="s">
        <v>47</v>
      </c>
      <c r="F222" t="s">
        <v>48</v>
      </c>
      <c r="G222" t="s">
        <v>49</v>
      </c>
      <c r="H222">
        <v>0.64368803551463516</v>
      </c>
      <c r="I222" t="s">
        <v>155</v>
      </c>
      <c r="J222">
        <v>36</v>
      </c>
      <c r="K222">
        <v>4</v>
      </c>
      <c r="L222">
        <v>-3.84</v>
      </c>
      <c r="M222">
        <v>3.84</v>
      </c>
    </row>
    <row r="223" spans="1:13" x14ac:dyDescent="0.35">
      <c r="A223" t="s">
        <v>95</v>
      </c>
      <c r="B223">
        <v>117</v>
      </c>
      <c r="C223" t="s">
        <v>18</v>
      </c>
      <c r="E223" t="s">
        <v>19</v>
      </c>
      <c r="F223" t="s">
        <v>20</v>
      </c>
      <c r="G223" t="s">
        <v>21</v>
      </c>
      <c r="H223">
        <v>0.6429344002453351</v>
      </c>
      <c r="I223" t="s">
        <v>155</v>
      </c>
      <c r="J223">
        <v>36</v>
      </c>
      <c r="K223">
        <v>4</v>
      </c>
      <c r="L223">
        <v>-3.84</v>
      </c>
      <c r="M223">
        <v>3.84</v>
      </c>
    </row>
    <row r="224" spans="1:13" x14ac:dyDescent="0.35">
      <c r="A224" t="s">
        <v>98</v>
      </c>
      <c r="B224">
        <v>117</v>
      </c>
      <c r="C224" t="s">
        <v>18</v>
      </c>
      <c r="E224" t="s">
        <v>19</v>
      </c>
      <c r="F224" t="s">
        <v>20</v>
      </c>
      <c r="G224" t="s">
        <v>21</v>
      </c>
      <c r="H224">
        <v>0.64269167948356731</v>
      </c>
      <c r="I224" t="s">
        <v>155</v>
      </c>
      <c r="J224">
        <v>36</v>
      </c>
      <c r="K224">
        <v>4</v>
      </c>
      <c r="L224">
        <v>-3.84</v>
      </c>
      <c r="M224">
        <v>3.84</v>
      </c>
    </row>
    <row r="225" spans="1:13" x14ac:dyDescent="0.35">
      <c r="A225" t="s">
        <v>127</v>
      </c>
      <c r="B225">
        <v>117</v>
      </c>
      <c r="C225" t="s">
        <v>18</v>
      </c>
      <c r="E225" t="s">
        <v>19</v>
      </c>
      <c r="F225" t="s">
        <v>20</v>
      </c>
      <c r="G225" t="s">
        <v>21</v>
      </c>
      <c r="H225">
        <v>0.63852322354947932</v>
      </c>
      <c r="I225" t="s">
        <v>155</v>
      </c>
      <c r="J225">
        <v>36</v>
      </c>
      <c r="K225">
        <v>4</v>
      </c>
      <c r="L225">
        <v>-3.84</v>
      </c>
      <c r="M225">
        <v>3.84</v>
      </c>
    </row>
    <row r="226" spans="1:13" x14ac:dyDescent="0.35">
      <c r="A226" t="s">
        <v>36</v>
      </c>
      <c r="B226">
        <v>729</v>
      </c>
      <c r="C226" t="s">
        <v>45</v>
      </c>
      <c r="D226" t="s">
        <v>46</v>
      </c>
      <c r="E226" t="s">
        <v>50</v>
      </c>
      <c r="F226" t="s">
        <v>51</v>
      </c>
      <c r="G226" t="s">
        <v>52</v>
      </c>
      <c r="H226">
        <v>0.63819885162421452</v>
      </c>
      <c r="I226" t="s">
        <v>155</v>
      </c>
      <c r="J226">
        <v>36</v>
      </c>
      <c r="K226">
        <v>4</v>
      </c>
      <c r="L226">
        <v>-3.84</v>
      </c>
      <c r="M226">
        <v>3.84</v>
      </c>
    </row>
    <row r="227" spans="1:13" x14ac:dyDescent="0.35">
      <c r="A227" t="s">
        <v>36</v>
      </c>
      <c r="B227">
        <v>741</v>
      </c>
      <c r="C227" t="s">
        <v>45</v>
      </c>
      <c r="D227" t="s">
        <v>46</v>
      </c>
      <c r="E227" t="s">
        <v>47</v>
      </c>
      <c r="F227" t="s">
        <v>48</v>
      </c>
      <c r="G227" t="s">
        <v>49</v>
      </c>
      <c r="H227">
        <v>0.6374522720489505</v>
      </c>
      <c r="I227" t="s">
        <v>155</v>
      </c>
      <c r="J227">
        <v>36</v>
      </c>
      <c r="K227">
        <v>4</v>
      </c>
      <c r="L227">
        <v>-3.84</v>
      </c>
      <c r="M227">
        <v>3.84</v>
      </c>
    </row>
    <row r="228" spans="1:13" x14ac:dyDescent="0.35">
      <c r="A228" t="s">
        <v>99</v>
      </c>
      <c r="B228">
        <v>741</v>
      </c>
      <c r="C228" t="s">
        <v>45</v>
      </c>
      <c r="D228" t="s">
        <v>46</v>
      </c>
      <c r="E228" t="s">
        <v>47</v>
      </c>
      <c r="F228" t="s">
        <v>48</v>
      </c>
      <c r="G228" t="s">
        <v>49</v>
      </c>
      <c r="H228">
        <v>0.63679726914277024</v>
      </c>
      <c r="I228" t="s">
        <v>155</v>
      </c>
      <c r="J228">
        <v>36</v>
      </c>
      <c r="K228">
        <v>4</v>
      </c>
      <c r="L228">
        <v>-3.84</v>
      </c>
      <c r="M228">
        <v>3.84</v>
      </c>
    </row>
    <row r="229" spans="1:13" x14ac:dyDescent="0.35">
      <c r="A229" t="s">
        <v>90</v>
      </c>
      <c r="B229">
        <v>724</v>
      </c>
      <c r="C229" t="s">
        <v>45</v>
      </c>
      <c r="D229" t="s">
        <v>58</v>
      </c>
      <c r="E229" t="s">
        <v>50</v>
      </c>
      <c r="F229" t="s">
        <v>59</v>
      </c>
      <c r="G229" t="s">
        <v>60</v>
      </c>
      <c r="H229">
        <v>0.63622992954292745</v>
      </c>
      <c r="I229" t="s">
        <v>155</v>
      </c>
      <c r="J229">
        <v>36</v>
      </c>
      <c r="K229">
        <v>4</v>
      </c>
      <c r="L229">
        <v>-3.84</v>
      </c>
      <c r="M229">
        <v>3.84</v>
      </c>
    </row>
    <row r="230" spans="1:13" x14ac:dyDescent="0.35">
      <c r="A230" t="s">
        <v>133</v>
      </c>
      <c r="B230">
        <v>117</v>
      </c>
      <c r="C230" t="s">
        <v>18</v>
      </c>
      <c r="E230" t="s">
        <v>19</v>
      </c>
      <c r="F230" t="s">
        <v>20</v>
      </c>
      <c r="G230" t="s">
        <v>21</v>
      </c>
      <c r="H230">
        <v>0.63616439979824735</v>
      </c>
      <c r="I230" t="s">
        <v>155</v>
      </c>
      <c r="J230">
        <v>36</v>
      </c>
      <c r="K230">
        <v>4</v>
      </c>
      <c r="L230">
        <v>-3.84</v>
      </c>
      <c r="M230">
        <v>3.84</v>
      </c>
    </row>
    <row r="231" spans="1:13" x14ac:dyDescent="0.35">
      <c r="A231" t="s">
        <v>54</v>
      </c>
      <c r="B231">
        <v>724</v>
      </c>
      <c r="C231" t="s">
        <v>45</v>
      </c>
      <c r="D231" t="s">
        <v>58</v>
      </c>
      <c r="E231" t="s">
        <v>50</v>
      </c>
      <c r="F231" t="s">
        <v>59</v>
      </c>
      <c r="G231" t="s">
        <v>60</v>
      </c>
      <c r="H231">
        <v>0.63579626486157004</v>
      </c>
      <c r="I231" t="s">
        <v>155</v>
      </c>
      <c r="J231">
        <v>36</v>
      </c>
      <c r="K231">
        <v>4</v>
      </c>
      <c r="L231">
        <v>-3.84</v>
      </c>
      <c r="M231">
        <v>3.84</v>
      </c>
    </row>
    <row r="232" spans="1:13" x14ac:dyDescent="0.35">
      <c r="A232" t="s">
        <v>95</v>
      </c>
      <c r="B232">
        <v>741</v>
      </c>
      <c r="C232" t="s">
        <v>45</v>
      </c>
      <c r="D232" t="s">
        <v>46</v>
      </c>
      <c r="E232" t="s">
        <v>47</v>
      </c>
      <c r="F232" t="s">
        <v>48</v>
      </c>
      <c r="G232" t="s">
        <v>49</v>
      </c>
      <c r="H232">
        <v>0.63511648567777068</v>
      </c>
      <c r="I232" t="s">
        <v>155</v>
      </c>
      <c r="J232">
        <v>36</v>
      </c>
      <c r="K232">
        <v>4</v>
      </c>
      <c r="L232">
        <v>-3.84</v>
      </c>
      <c r="M232">
        <v>3.84</v>
      </c>
    </row>
    <row r="233" spans="1:13" x14ac:dyDescent="0.35">
      <c r="A233" t="s">
        <v>113</v>
      </c>
      <c r="B233">
        <v>729</v>
      </c>
      <c r="C233" t="s">
        <v>45</v>
      </c>
      <c r="D233" t="s">
        <v>46</v>
      </c>
      <c r="E233" t="s">
        <v>50</v>
      </c>
      <c r="F233" t="s">
        <v>51</v>
      </c>
      <c r="G233" t="s">
        <v>52</v>
      </c>
      <c r="H233">
        <v>0.63506611450476147</v>
      </c>
      <c r="I233" t="s">
        <v>155</v>
      </c>
      <c r="J233">
        <v>36</v>
      </c>
      <c r="K233">
        <v>4</v>
      </c>
      <c r="L233">
        <v>-3.84</v>
      </c>
      <c r="M233">
        <v>3.84</v>
      </c>
    </row>
    <row r="234" spans="1:13" x14ac:dyDescent="0.35">
      <c r="A234" t="s">
        <v>124</v>
      </c>
      <c r="B234">
        <v>741</v>
      </c>
      <c r="C234" t="s">
        <v>45</v>
      </c>
      <c r="D234" t="s">
        <v>46</v>
      </c>
      <c r="E234" t="s">
        <v>47</v>
      </c>
      <c r="F234" t="s">
        <v>48</v>
      </c>
      <c r="G234" t="s">
        <v>49</v>
      </c>
      <c r="H234">
        <v>0.62904978156847224</v>
      </c>
      <c r="I234" t="s">
        <v>155</v>
      </c>
      <c r="J234">
        <v>36</v>
      </c>
      <c r="K234">
        <v>4</v>
      </c>
      <c r="L234">
        <v>-3.84</v>
      </c>
      <c r="M234">
        <v>3.84</v>
      </c>
    </row>
    <row r="235" spans="1:13" x14ac:dyDescent="0.35">
      <c r="A235" t="s">
        <v>110</v>
      </c>
      <c r="B235">
        <v>729</v>
      </c>
      <c r="C235" t="s">
        <v>45</v>
      </c>
      <c r="D235" t="s">
        <v>46</v>
      </c>
      <c r="E235" t="s">
        <v>50</v>
      </c>
      <c r="F235" t="s">
        <v>51</v>
      </c>
      <c r="G235" t="s">
        <v>52</v>
      </c>
      <c r="H235">
        <v>0.62763879006653223</v>
      </c>
      <c r="I235" t="s">
        <v>155</v>
      </c>
      <c r="J235">
        <v>36</v>
      </c>
      <c r="K235">
        <v>4</v>
      </c>
      <c r="L235">
        <v>-3.84</v>
      </c>
      <c r="M235">
        <v>3.84</v>
      </c>
    </row>
    <row r="236" spans="1:13" x14ac:dyDescent="0.35">
      <c r="A236" t="s">
        <v>63</v>
      </c>
      <c r="B236">
        <v>737</v>
      </c>
      <c r="C236" t="s">
        <v>45</v>
      </c>
      <c r="D236" t="s">
        <v>58</v>
      </c>
      <c r="E236" t="s">
        <v>47</v>
      </c>
      <c r="F236" t="s">
        <v>61</v>
      </c>
      <c r="G236" t="s">
        <v>62</v>
      </c>
      <c r="H236">
        <v>0.62757854320556472</v>
      </c>
      <c r="I236" t="s">
        <v>155</v>
      </c>
      <c r="J236">
        <v>36</v>
      </c>
      <c r="K236">
        <v>4</v>
      </c>
      <c r="L236">
        <v>-3.84</v>
      </c>
      <c r="M236">
        <v>3.84</v>
      </c>
    </row>
    <row r="237" spans="1:13" x14ac:dyDescent="0.35">
      <c r="A237" t="s">
        <v>134</v>
      </c>
      <c r="B237">
        <v>117</v>
      </c>
      <c r="C237" t="s">
        <v>18</v>
      </c>
      <c r="E237" t="s">
        <v>19</v>
      </c>
      <c r="F237" t="s">
        <v>20</v>
      </c>
      <c r="G237" t="s">
        <v>21</v>
      </c>
      <c r="H237">
        <v>0.62721725097818348</v>
      </c>
      <c r="I237" t="s">
        <v>155</v>
      </c>
      <c r="J237">
        <v>36</v>
      </c>
      <c r="K237">
        <v>4</v>
      </c>
      <c r="L237">
        <v>-3.84</v>
      </c>
      <c r="M237">
        <v>3.84</v>
      </c>
    </row>
    <row r="238" spans="1:13" x14ac:dyDescent="0.35">
      <c r="A238" t="s">
        <v>117</v>
      </c>
      <c r="B238">
        <v>737</v>
      </c>
      <c r="C238" t="s">
        <v>45</v>
      </c>
      <c r="D238" t="s">
        <v>58</v>
      </c>
      <c r="E238" t="s">
        <v>47</v>
      </c>
      <c r="F238" t="s">
        <v>61</v>
      </c>
      <c r="G238" t="s">
        <v>62</v>
      </c>
      <c r="H238">
        <v>0.62671246640427059</v>
      </c>
      <c r="I238" t="s">
        <v>155</v>
      </c>
      <c r="J238">
        <v>36</v>
      </c>
      <c r="K238">
        <v>4</v>
      </c>
      <c r="L238">
        <v>-3.84</v>
      </c>
      <c r="M238">
        <v>3.84</v>
      </c>
    </row>
    <row r="239" spans="1:13" x14ac:dyDescent="0.35">
      <c r="A239" t="s">
        <v>115</v>
      </c>
      <c r="B239">
        <v>117</v>
      </c>
      <c r="C239" t="s">
        <v>18</v>
      </c>
      <c r="E239" t="s">
        <v>19</v>
      </c>
      <c r="F239" t="s">
        <v>20</v>
      </c>
      <c r="G239" t="s">
        <v>21</v>
      </c>
      <c r="H239">
        <v>0.62577225355867727</v>
      </c>
      <c r="I239" t="s">
        <v>155</v>
      </c>
      <c r="J239">
        <v>36</v>
      </c>
      <c r="K239">
        <v>4</v>
      </c>
      <c r="L239">
        <v>-3.84</v>
      </c>
      <c r="M239">
        <v>3.84</v>
      </c>
    </row>
    <row r="240" spans="1:13" x14ac:dyDescent="0.35">
      <c r="A240" t="s">
        <v>132</v>
      </c>
      <c r="B240">
        <v>117</v>
      </c>
      <c r="C240" t="s">
        <v>18</v>
      </c>
      <c r="E240" t="s">
        <v>19</v>
      </c>
      <c r="F240" t="s">
        <v>20</v>
      </c>
      <c r="G240" t="s">
        <v>21</v>
      </c>
      <c r="H240">
        <v>0.62479075263672279</v>
      </c>
      <c r="I240" t="s">
        <v>155</v>
      </c>
      <c r="J240">
        <v>36</v>
      </c>
      <c r="K240">
        <v>4</v>
      </c>
      <c r="L240">
        <v>-3.84</v>
      </c>
      <c r="M240">
        <v>3.84</v>
      </c>
    </row>
    <row r="241" spans="1:13" x14ac:dyDescent="0.35">
      <c r="A241" t="s">
        <v>103</v>
      </c>
      <c r="B241">
        <v>116</v>
      </c>
      <c r="C241" t="s">
        <v>18</v>
      </c>
      <c r="E241" t="s">
        <v>26</v>
      </c>
      <c r="F241" t="s">
        <v>27</v>
      </c>
      <c r="G241" t="s">
        <v>28</v>
      </c>
      <c r="H241">
        <v>0.62451679945852756</v>
      </c>
      <c r="I241" t="s">
        <v>155</v>
      </c>
      <c r="J241">
        <v>36</v>
      </c>
      <c r="K241">
        <v>4</v>
      </c>
      <c r="L241">
        <v>-3.84</v>
      </c>
      <c r="M241">
        <v>3.84</v>
      </c>
    </row>
    <row r="242" spans="1:13" x14ac:dyDescent="0.35">
      <c r="A242" t="s">
        <v>119</v>
      </c>
      <c r="B242">
        <v>729</v>
      </c>
      <c r="C242" t="s">
        <v>45</v>
      </c>
      <c r="D242" t="s">
        <v>46</v>
      </c>
      <c r="E242" t="s">
        <v>50</v>
      </c>
      <c r="F242" t="s">
        <v>51</v>
      </c>
      <c r="G242" t="s">
        <v>52</v>
      </c>
      <c r="H242">
        <v>0.62267776605180714</v>
      </c>
      <c r="I242" t="s">
        <v>155</v>
      </c>
      <c r="J242">
        <v>36</v>
      </c>
      <c r="K242">
        <v>4</v>
      </c>
      <c r="L242">
        <v>-3.84</v>
      </c>
      <c r="M242">
        <v>3.84</v>
      </c>
    </row>
    <row r="243" spans="1:13" x14ac:dyDescent="0.35">
      <c r="A243" t="s">
        <v>127</v>
      </c>
      <c r="B243">
        <v>741</v>
      </c>
      <c r="C243" t="s">
        <v>45</v>
      </c>
      <c r="D243" t="s">
        <v>46</v>
      </c>
      <c r="E243" t="s">
        <v>47</v>
      </c>
      <c r="F243" t="s">
        <v>48</v>
      </c>
      <c r="G243" t="s">
        <v>49</v>
      </c>
      <c r="H243">
        <v>0.62216982833529877</v>
      </c>
      <c r="I243" t="s">
        <v>155</v>
      </c>
      <c r="J243">
        <v>36</v>
      </c>
      <c r="K243">
        <v>4</v>
      </c>
      <c r="L243">
        <v>-3.84</v>
      </c>
      <c r="M243">
        <v>3.84</v>
      </c>
    </row>
    <row r="244" spans="1:13" x14ac:dyDescent="0.35">
      <c r="A244" t="s">
        <v>135</v>
      </c>
      <c r="B244">
        <v>741</v>
      </c>
      <c r="C244" t="s">
        <v>45</v>
      </c>
      <c r="D244" t="s">
        <v>46</v>
      </c>
      <c r="E244" t="s">
        <v>47</v>
      </c>
      <c r="F244" t="s">
        <v>48</v>
      </c>
      <c r="G244" t="s">
        <v>49</v>
      </c>
      <c r="H244">
        <v>0.62192555075153877</v>
      </c>
      <c r="I244" t="s">
        <v>155</v>
      </c>
      <c r="J244">
        <v>36</v>
      </c>
      <c r="K244">
        <v>4</v>
      </c>
      <c r="L244">
        <v>-3.84</v>
      </c>
      <c r="M244">
        <v>3.84</v>
      </c>
    </row>
    <row r="245" spans="1:13" x14ac:dyDescent="0.35">
      <c r="A245" t="s">
        <v>63</v>
      </c>
      <c r="B245">
        <v>724</v>
      </c>
      <c r="C245" t="s">
        <v>45</v>
      </c>
      <c r="D245" t="s">
        <v>58</v>
      </c>
      <c r="E245" t="s">
        <v>50</v>
      </c>
      <c r="F245" t="s">
        <v>59</v>
      </c>
      <c r="G245" t="s">
        <v>60</v>
      </c>
      <c r="H245">
        <v>0.62139802605136119</v>
      </c>
      <c r="I245" t="s">
        <v>155</v>
      </c>
      <c r="J245">
        <v>36</v>
      </c>
      <c r="K245">
        <v>4</v>
      </c>
      <c r="L245">
        <v>-3.84</v>
      </c>
      <c r="M245">
        <v>3.84</v>
      </c>
    </row>
    <row r="246" spans="1:13" x14ac:dyDescent="0.35">
      <c r="A246" t="s">
        <v>68</v>
      </c>
      <c r="B246">
        <v>117</v>
      </c>
      <c r="C246" t="s">
        <v>18</v>
      </c>
      <c r="E246" t="s">
        <v>19</v>
      </c>
      <c r="F246" t="s">
        <v>20</v>
      </c>
      <c r="G246" t="s">
        <v>21</v>
      </c>
      <c r="H246">
        <v>0.61622455802335729</v>
      </c>
      <c r="I246" t="s">
        <v>155</v>
      </c>
      <c r="J246">
        <v>36</v>
      </c>
      <c r="K246">
        <v>4</v>
      </c>
      <c r="L246">
        <v>-3.84</v>
      </c>
      <c r="M246">
        <v>3.84</v>
      </c>
    </row>
    <row r="247" spans="1:13" x14ac:dyDescent="0.35">
      <c r="A247" t="s">
        <v>17</v>
      </c>
      <c r="B247">
        <v>724</v>
      </c>
      <c r="C247" t="s">
        <v>45</v>
      </c>
      <c r="D247" t="s">
        <v>58</v>
      </c>
      <c r="E247" t="s">
        <v>50</v>
      </c>
      <c r="F247" t="s">
        <v>59</v>
      </c>
      <c r="G247" t="s">
        <v>60</v>
      </c>
      <c r="H247">
        <v>0.61353356363654521</v>
      </c>
      <c r="I247" t="s">
        <v>155</v>
      </c>
      <c r="J247">
        <v>36</v>
      </c>
      <c r="K247">
        <v>4</v>
      </c>
      <c r="L247">
        <v>-3.84</v>
      </c>
      <c r="M247">
        <v>3.84</v>
      </c>
    </row>
    <row r="248" spans="1:13" x14ac:dyDescent="0.35">
      <c r="A248" t="s">
        <v>136</v>
      </c>
      <c r="B248">
        <v>724</v>
      </c>
      <c r="C248" t="s">
        <v>45</v>
      </c>
      <c r="D248" t="s">
        <v>58</v>
      </c>
      <c r="E248" t="s">
        <v>50</v>
      </c>
      <c r="F248" t="s">
        <v>59</v>
      </c>
      <c r="G248" t="s">
        <v>60</v>
      </c>
      <c r="H248">
        <v>0.61150632237298896</v>
      </c>
      <c r="I248" t="s">
        <v>155</v>
      </c>
      <c r="J248">
        <v>36</v>
      </c>
      <c r="K248">
        <v>4</v>
      </c>
      <c r="L248">
        <v>-3.84</v>
      </c>
      <c r="M248">
        <v>3.84</v>
      </c>
    </row>
    <row r="249" spans="1:13" x14ac:dyDescent="0.35">
      <c r="A249" t="s">
        <v>116</v>
      </c>
      <c r="B249">
        <v>741</v>
      </c>
      <c r="C249" t="s">
        <v>45</v>
      </c>
      <c r="D249" t="s">
        <v>46</v>
      </c>
      <c r="E249" t="s">
        <v>47</v>
      </c>
      <c r="F249" t="s">
        <v>48</v>
      </c>
      <c r="G249" t="s">
        <v>49</v>
      </c>
      <c r="H249">
        <v>0.61029806492982297</v>
      </c>
      <c r="I249" t="s">
        <v>155</v>
      </c>
      <c r="J249">
        <v>36</v>
      </c>
      <c r="K249">
        <v>4</v>
      </c>
      <c r="L249">
        <v>-3.84</v>
      </c>
      <c r="M249">
        <v>3.84</v>
      </c>
    </row>
    <row r="250" spans="1:13" x14ac:dyDescent="0.35">
      <c r="A250" t="s">
        <v>84</v>
      </c>
      <c r="B250">
        <v>737</v>
      </c>
      <c r="C250" t="s">
        <v>45</v>
      </c>
      <c r="D250" t="s">
        <v>58</v>
      </c>
      <c r="E250" t="s">
        <v>47</v>
      </c>
      <c r="F250" t="s">
        <v>61</v>
      </c>
      <c r="G250" t="s">
        <v>62</v>
      </c>
      <c r="H250">
        <v>0.60749700810833962</v>
      </c>
      <c r="I250" t="s">
        <v>155</v>
      </c>
      <c r="J250">
        <v>36</v>
      </c>
      <c r="K250">
        <v>4</v>
      </c>
      <c r="L250">
        <v>-3.84</v>
      </c>
      <c r="M250">
        <v>3.84</v>
      </c>
    </row>
    <row r="251" spans="1:13" x14ac:dyDescent="0.35">
      <c r="A251" t="s">
        <v>32</v>
      </c>
      <c r="B251">
        <v>729</v>
      </c>
      <c r="C251" t="s">
        <v>45</v>
      </c>
      <c r="D251" t="s">
        <v>46</v>
      </c>
      <c r="E251" t="s">
        <v>50</v>
      </c>
      <c r="F251" t="s">
        <v>51</v>
      </c>
      <c r="G251" t="s">
        <v>52</v>
      </c>
      <c r="H251">
        <v>0.60671289508569248</v>
      </c>
      <c r="I251" t="s">
        <v>155</v>
      </c>
      <c r="J251">
        <v>36</v>
      </c>
      <c r="K251">
        <v>4</v>
      </c>
      <c r="L251">
        <v>-3.84</v>
      </c>
      <c r="M251">
        <v>3.84</v>
      </c>
    </row>
    <row r="252" spans="1:13" x14ac:dyDescent="0.35">
      <c r="A252" t="s">
        <v>95</v>
      </c>
      <c r="B252">
        <v>724</v>
      </c>
      <c r="C252" t="s">
        <v>45</v>
      </c>
      <c r="D252" t="s">
        <v>58</v>
      </c>
      <c r="E252" t="s">
        <v>50</v>
      </c>
      <c r="F252" t="s">
        <v>59</v>
      </c>
      <c r="G252" t="s">
        <v>60</v>
      </c>
      <c r="H252">
        <v>0.60313497433988672</v>
      </c>
      <c r="I252" t="s">
        <v>155</v>
      </c>
      <c r="J252">
        <v>36</v>
      </c>
      <c r="K252">
        <v>4</v>
      </c>
      <c r="L252">
        <v>-3.84</v>
      </c>
      <c r="M252">
        <v>3.84</v>
      </c>
    </row>
    <row r="253" spans="1:13" x14ac:dyDescent="0.35">
      <c r="A253" t="s">
        <v>113</v>
      </c>
      <c r="B253">
        <v>117</v>
      </c>
      <c r="C253" t="s">
        <v>18</v>
      </c>
      <c r="E253" t="s">
        <v>19</v>
      </c>
      <c r="F253" t="s">
        <v>20</v>
      </c>
      <c r="G253" t="s">
        <v>21</v>
      </c>
      <c r="H253">
        <v>0.59873076926893143</v>
      </c>
      <c r="I253" t="s">
        <v>155</v>
      </c>
      <c r="J253">
        <v>36</v>
      </c>
      <c r="K253">
        <v>4</v>
      </c>
      <c r="L253">
        <v>-3.84</v>
      </c>
      <c r="M253">
        <v>3.84</v>
      </c>
    </row>
    <row r="254" spans="1:13" x14ac:dyDescent="0.35">
      <c r="A254" t="s">
        <v>92</v>
      </c>
      <c r="B254">
        <v>737</v>
      </c>
      <c r="C254" t="s">
        <v>45</v>
      </c>
      <c r="D254" t="s">
        <v>58</v>
      </c>
      <c r="E254" t="s">
        <v>47</v>
      </c>
      <c r="F254" t="s">
        <v>61</v>
      </c>
      <c r="G254" t="s">
        <v>62</v>
      </c>
      <c r="H254">
        <v>0.59381974694920969</v>
      </c>
      <c r="I254" t="s">
        <v>155</v>
      </c>
      <c r="J254">
        <v>36</v>
      </c>
      <c r="K254">
        <v>4</v>
      </c>
      <c r="L254">
        <v>-3.84</v>
      </c>
      <c r="M254">
        <v>3.84</v>
      </c>
    </row>
    <row r="255" spans="1:13" x14ac:dyDescent="0.35">
      <c r="A255" t="s">
        <v>55</v>
      </c>
      <c r="B255">
        <v>724</v>
      </c>
      <c r="C255" t="s">
        <v>45</v>
      </c>
      <c r="D255" t="s">
        <v>58</v>
      </c>
      <c r="E255" t="s">
        <v>50</v>
      </c>
      <c r="F255" t="s">
        <v>59</v>
      </c>
      <c r="G255" t="s">
        <v>60</v>
      </c>
      <c r="H255">
        <v>0.59246432155828987</v>
      </c>
      <c r="I255" t="s">
        <v>155</v>
      </c>
      <c r="J255">
        <v>36</v>
      </c>
      <c r="K255">
        <v>4</v>
      </c>
      <c r="L255">
        <v>-3.84</v>
      </c>
      <c r="M255">
        <v>3.84</v>
      </c>
    </row>
    <row r="256" spans="1:13" x14ac:dyDescent="0.35">
      <c r="A256" t="s">
        <v>137</v>
      </c>
      <c r="B256">
        <v>729</v>
      </c>
      <c r="C256" t="s">
        <v>45</v>
      </c>
      <c r="D256" t="s">
        <v>46</v>
      </c>
      <c r="E256" t="s">
        <v>50</v>
      </c>
      <c r="F256" t="s">
        <v>51</v>
      </c>
      <c r="G256" t="s">
        <v>52</v>
      </c>
      <c r="H256">
        <v>0.59159074576542769</v>
      </c>
      <c r="I256" t="s">
        <v>155</v>
      </c>
      <c r="J256">
        <v>36</v>
      </c>
      <c r="K256">
        <v>4</v>
      </c>
      <c r="L256">
        <v>-3.84</v>
      </c>
      <c r="M256">
        <v>3.84</v>
      </c>
    </row>
    <row r="257" spans="1:13" x14ac:dyDescent="0.35">
      <c r="A257" t="s">
        <v>137</v>
      </c>
      <c r="B257">
        <v>741</v>
      </c>
      <c r="C257" t="s">
        <v>45</v>
      </c>
      <c r="D257" t="s">
        <v>46</v>
      </c>
      <c r="E257" t="s">
        <v>47</v>
      </c>
      <c r="F257" t="s">
        <v>48</v>
      </c>
      <c r="G257" t="s">
        <v>49</v>
      </c>
      <c r="H257">
        <v>0.59157348481257888</v>
      </c>
      <c r="I257" t="s">
        <v>155</v>
      </c>
      <c r="J257">
        <v>36</v>
      </c>
      <c r="K257">
        <v>4</v>
      </c>
      <c r="L257">
        <v>-3.84</v>
      </c>
      <c r="M257">
        <v>3.84</v>
      </c>
    </row>
    <row r="258" spans="1:13" x14ac:dyDescent="0.35">
      <c r="A258" t="s">
        <v>53</v>
      </c>
      <c r="B258">
        <v>724</v>
      </c>
      <c r="C258" t="s">
        <v>45</v>
      </c>
      <c r="D258" t="s">
        <v>58</v>
      </c>
      <c r="E258" t="s">
        <v>50</v>
      </c>
      <c r="F258" t="s">
        <v>59</v>
      </c>
      <c r="G258" t="s">
        <v>60</v>
      </c>
      <c r="H258">
        <v>0.59007967374238535</v>
      </c>
      <c r="I258" t="s">
        <v>155</v>
      </c>
      <c r="J258">
        <v>36</v>
      </c>
      <c r="K258">
        <v>4</v>
      </c>
      <c r="L258">
        <v>-3.84</v>
      </c>
      <c r="M258">
        <v>3.84</v>
      </c>
    </row>
    <row r="259" spans="1:13" x14ac:dyDescent="0.35">
      <c r="A259" t="s">
        <v>66</v>
      </c>
      <c r="B259">
        <v>116</v>
      </c>
      <c r="C259" t="s">
        <v>18</v>
      </c>
      <c r="E259" t="s">
        <v>26</v>
      </c>
      <c r="F259" t="s">
        <v>27</v>
      </c>
      <c r="G259" t="s">
        <v>28</v>
      </c>
      <c r="H259">
        <v>0.58985254770275286</v>
      </c>
      <c r="I259" t="s">
        <v>155</v>
      </c>
      <c r="J259">
        <v>36</v>
      </c>
      <c r="K259">
        <v>4</v>
      </c>
      <c r="L259">
        <v>-3.84</v>
      </c>
      <c r="M259">
        <v>3.84</v>
      </c>
    </row>
    <row r="260" spans="1:13" x14ac:dyDescent="0.35">
      <c r="A260" t="s">
        <v>138</v>
      </c>
      <c r="B260">
        <v>117</v>
      </c>
      <c r="C260" t="s">
        <v>18</v>
      </c>
      <c r="E260" t="s">
        <v>19</v>
      </c>
      <c r="F260" t="s">
        <v>20</v>
      </c>
      <c r="G260" t="s">
        <v>21</v>
      </c>
      <c r="H260">
        <v>0.58925003512118412</v>
      </c>
      <c r="I260" t="s">
        <v>155</v>
      </c>
      <c r="J260">
        <v>36</v>
      </c>
      <c r="K260">
        <v>4</v>
      </c>
      <c r="L260">
        <v>-3.84</v>
      </c>
      <c r="M260">
        <v>3.84</v>
      </c>
    </row>
    <row r="261" spans="1:13" x14ac:dyDescent="0.35">
      <c r="A261" t="s">
        <v>105</v>
      </c>
      <c r="B261">
        <v>724</v>
      </c>
      <c r="C261" t="s">
        <v>45</v>
      </c>
      <c r="D261" t="s">
        <v>58</v>
      </c>
      <c r="E261" t="s">
        <v>50</v>
      </c>
      <c r="F261" t="s">
        <v>59</v>
      </c>
      <c r="G261" t="s">
        <v>60</v>
      </c>
      <c r="H261">
        <v>0.58909768863107914</v>
      </c>
      <c r="I261" t="s">
        <v>155</v>
      </c>
      <c r="J261">
        <v>36</v>
      </c>
      <c r="K261">
        <v>4</v>
      </c>
      <c r="L261">
        <v>-3.84</v>
      </c>
      <c r="M261">
        <v>3.84</v>
      </c>
    </row>
    <row r="262" spans="1:13" x14ac:dyDescent="0.35">
      <c r="A262" t="s">
        <v>96</v>
      </c>
      <c r="B262">
        <v>724</v>
      </c>
      <c r="C262" t="s">
        <v>45</v>
      </c>
      <c r="D262" t="s">
        <v>58</v>
      </c>
      <c r="E262" t="s">
        <v>50</v>
      </c>
      <c r="F262" t="s">
        <v>59</v>
      </c>
      <c r="G262" t="s">
        <v>60</v>
      </c>
      <c r="H262">
        <v>0.58873109048509165</v>
      </c>
      <c r="I262" t="s">
        <v>155</v>
      </c>
      <c r="J262">
        <v>36</v>
      </c>
      <c r="K262">
        <v>4</v>
      </c>
      <c r="L262">
        <v>-3.84</v>
      </c>
      <c r="M262">
        <v>3.84</v>
      </c>
    </row>
    <row r="263" spans="1:13" x14ac:dyDescent="0.35">
      <c r="A263" t="s">
        <v>53</v>
      </c>
      <c r="B263">
        <v>729</v>
      </c>
      <c r="C263" t="s">
        <v>45</v>
      </c>
      <c r="D263" t="s">
        <v>46</v>
      </c>
      <c r="E263" t="s">
        <v>50</v>
      </c>
      <c r="F263" t="s">
        <v>51</v>
      </c>
      <c r="G263" t="s">
        <v>52</v>
      </c>
      <c r="H263">
        <v>0.58382658560284573</v>
      </c>
      <c r="I263" t="s">
        <v>155</v>
      </c>
      <c r="J263">
        <v>36</v>
      </c>
      <c r="K263">
        <v>4</v>
      </c>
      <c r="L263">
        <v>-3.84</v>
      </c>
      <c r="M263">
        <v>3.84</v>
      </c>
    </row>
    <row r="264" spans="1:13" x14ac:dyDescent="0.35">
      <c r="A264" t="s">
        <v>107</v>
      </c>
      <c r="B264">
        <v>737</v>
      </c>
      <c r="C264" t="s">
        <v>45</v>
      </c>
      <c r="D264" t="s">
        <v>58</v>
      </c>
      <c r="E264" t="s">
        <v>47</v>
      </c>
      <c r="F264" t="s">
        <v>61</v>
      </c>
      <c r="G264" t="s">
        <v>62</v>
      </c>
      <c r="H264">
        <v>0.58268424662143459</v>
      </c>
      <c r="I264" t="s">
        <v>155</v>
      </c>
      <c r="J264">
        <v>36</v>
      </c>
      <c r="K264">
        <v>4</v>
      </c>
      <c r="L264">
        <v>-3.84</v>
      </c>
      <c r="M264">
        <v>3.84</v>
      </c>
    </row>
    <row r="265" spans="1:13" x14ac:dyDescent="0.35">
      <c r="A265" t="s">
        <v>70</v>
      </c>
      <c r="B265">
        <v>729</v>
      </c>
      <c r="C265" t="s">
        <v>45</v>
      </c>
      <c r="D265" t="s">
        <v>46</v>
      </c>
      <c r="E265" t="s">
        <v>50</v>
      </c>
      <c r="F265" t="s">
        <v>51</v>
      </c>
      <c r="G265" t="s">
        <v>52</v>
      </c>
      <c r="H265">
        <v>0.58181640544273161</v>
      </c>
      <c r="I265" t="s">
        <v>155</v>
      </c>
      <c r="J265">
        <v>36</v>
      </c>
      <c r="K265">
        <v>4</v>
      </c>
      <c r="L265">
        <v>-3.84</v>
      </c>
      <c r="M265">
        <v>3.84</v>
      </c>
    </row>
    <row r="266" spans="1:13" x14ac:dyDescent="0.35">
      <c r="A266" t="s">
        <v>80</v>
      </c>
      <c r="B266">
        <v>117</v>
      </c>
      <c r="C266" t="s">
        <v>18</v>
      </c>
      <c r="E266" t="s">
        <v>19</v>
      </c>
      <c r="F266" t="s">
        <v>20</v>
      </c>
      <c r="G266" t="s">
        <v>21</v>
      </c>
      <c r="H266">
        <v>0.58100661394785347</v>
      </c>
      <c r="I266" t="s">
        <v>155</v>
      </c>
      <c r="J266">
        <v>36</v>
      </c>
      <c r="K266">
        <v>4</v>
      </c>
      <c r="L266">
        <v>-3.84</v>
      </c>
      <c r="M266">
        <v>3.84</v>
      </c>
    </row>
    <row r="267" spans="1:13" x14ac:dyDescent="0.35">
      <c r="A267" t="s">
        <v>121</v>
      </c>
      <c r="B267">
        <v>724</v>
      </c>
      <c r="C267" t="s">
        <v>45</v>
      </c>
      <c r="D267" t="s">
        <v>58</v>
      </c>
      <c r="E267" t="s">
        <v>50</v>
      </c>
      <c r="F267" t="s">
        <v>59</v>
      </c>
      <c r="G267" t="s">
        <v>60</v>
      </c>
      <c r="H267">
        <v>0.5789295289797638</v>
      </c>
      <c r="I267" t="s">
        <v>155</v>
      </c>
      <c r="J267">
        <v>36</v>
      </c>
      <c r="K267">
        <v>4</v>
      </c>
      <c r="L267">
        <v>-3.84</v>
      </c>
      <c r="M267">
        <v>3.84</v>
      </c>
    </row>
    <row r="268" spans="1:13" x14ac:dyDescent="0.35">
      <c r="A268" t="s">
        <v>133</v>
      </c>
      <c r="B268">
        <v>116</v>
      </c>
      <c r="C268" t="s">
        <v>18</v>
      </c>
      <c r="E268" t="s">
        <v>26</v>
      </c>
      <c r="F268" t="s">
        <v>27</v>
      </c>
      <c r="G268" t="s">
        <v>28</v>
      </c>
      <c r="H268">
        <v>0.5761232044277308</v>
      </c>
      <c r="I268" t="s">
        <v>155</v>
      </c>
      <c r="J268">
        <v>36</v>
      </c>
      <c r="K268">
        <v>4</v>
      </c>
      <c r="L268">
        <v>-3.84</v>
      </c>
      <c r="M268">
        <v>3.84</v>
      </c>
    </row>
    <row r="269" spans="1:13" x14ac:dyDescent="0.35">
      <c r="A269" t="s">
        <v>69</v>
      </c>
      <c r="B269">
        <v>116</v>
      </c>
      <c r="C269" t="s">
        <v>18</v>
      </c>
      <c r="E269" t="s">
        <v>26</v>
      </c>
      <c r="F269" t="s">
        <v>27</v>
      </c>
      <c r="G269" t="s">
        <v>28</v>
      </c>
      <c r="H269">
        <v>0.5737043325472706</v>
      </c>
      <c r="I269" t="s">
        <v>155</v>
      </c>
      <c r="J269">
        <v>36</v>
      </c>
      <c r="K269">
        <v>4</v>
      </c>
      <c r="L269">
        <v>-3.84</v>
      </c>
      <c r="M269">
        <v>3.84</v>
      </c>
    </row>
    <row r="270" spans="1:13" x14ac:dyDescent="0.35">
      <c r="A270" t="s">
        <v>128</v>
      </c>
      <c r="B270">
        <v>729</v>
      </c>
      <c r="C270" t="s">
        <v>45</v>
      </c>
      <c r="D270" t="s">
        <v>46</v>
      </c>
      <c r="E270" t="s">
        <v>50</v>
      </c>
      <c r="F270" t="s">
        <v>51</v>
      </c>
      <c r="G270" t="s">
        <v>52</v>
      </c>
      <c r="H270">
        <v>0.5736293245736267</v>
      </c>
      <c r="I270" t="s">
        <v>155</v>
      </c>
      <c r="J270">
        <v>36</v>
      </c>
      <c r="K270">
        <v>4</v>
      </c>
      <c r="L270">
        <v>-3.84</v>
      </c>
      <c r="M270">
        <v>3.84</v>
      </c>
    </row>
    <row r="271" spans="1:13" x14ac:dyDescent="0.35">
      <c r="A271" t="s">
        <v>66</v>
      </c>
      <c r="B271">
        <v>724</v>
      </c>
      <c r="C271" t="s">
        <v>45</v>
      </c>
      <c r="D271" t="s">
        <v>58</v>
      </c>
      <c r="E271" t="s">
        <v>50</v>
      </c>
      <c r="F271" t="s">
        <v>59</v>
      </c>
      <c r="G271" t="s">
        <v>60</v>
      </c>
      <c r="H271">
        <v>0.57260105771237535</v>
      </c>
      <c r="I271" t="s">
        <v>155</v>
      </c>
      <c r="J271">
        <v>36</v>
      </c>
      <c r="K271">
        <v>4</v>
      </c>
      <c r="L271">
        <v>-3.84</v>
      </c>
      <c r="M271">
        <v>3.84</v>
      </c>
    </row>
    <row r="272" spans="1:13" x14ac:dyDescent="0.35">
      <c r="A272" t="s">
        <v>139</v>
      </c>
      <c r="B272">
        <v>737</v>
      </c>
      <c r="C272" t="s">
        <v>45</v>
      </c>
      <c r="D272" t="s">
        <v>58</v>
      </c>
      <c r="E272" t="s">
        <v>47</v>
      </c>
      <c r="F272" t="s">
        <v>61</v>
      </c>
      <c r="G272" t="s">
        <v>62</v>
      </c>
      <c r="H272">
        <v>0.5725067825517467</v>
      </c>
      <c r="I272" t="s">
        <v>155</v>
      </c>
      <c r="J272">
        <v>36</v>
      </c>
      <c r="K272">
        <v>4</v>
      </c>
      <c r="L272">
        <v>-3.84</v>
      </c>
      <c r="M272">
        <v>3.84</v>
      </c>
    </row>
    <row r="273" spans="1:13" x14ac:dyDescent="0.35">
      <c r="A273" t="s">
        <v>86</v>
      </c>
      <c r="B273">
        <v>117</v>
      </c>
      <c r="C273" t="s">
        <v>18</v>
      </c>
      <c r="E273" t="s">
        <v>19</v>
      </c>
      <c r="F273" t="s">
        <v>20</v>
      </c>
      <c r="G273" t="s">
        <v>21</v>
      </c>
      <c r="H273">
        <v>0.57196543497724872</v>
      </c>
      <c r="I273" t="s">
        <v>155</v>
      </c>
      <c r="J273">
        <v>36</v>
      </c>
      <c r="K273">
        <v>4</v>
      </c>
      <c r="L273">
        <v>-3.84</v>
      </c>
      <c r="M273">
        <v>3.84</v>
      </c>
    </row>
    <row r="274" spans="1:13" x14ac:dyDescent="0.35">
      <c r="A274" t="s">
        <v>122</v>
      </c>
      <c r="B274">
        <v>724</v>
      </c>
      <c r="C274" t="s">
        <v>45</v>
      </c>
      <c r="D274" t="s">
        <v>58</v>
      </c>
      <c r="E274" t="s">
        <v>50</v>
      </c>
      <c r="F274" t="s">
        <v>59</v>
      </c>
      <c r="G274" t="s">
        <v>60</v>
      </c>
      <c r="H274">
        <v>0.57083430737513341</v>
      </c>
      <c r="I274" t="s">
        <v>155</v>
      </c>
      <c r="J274">
        <v>36</v>
      </c>
      <c r="K274">
        <v>4</v>
      </c>
      <c r="L274">
        <v>-3.84</v>
      </c>
      <c r="M274">
        <v>3.84</v>
      </c>
    </row>
    <row r="275" spans="1:13" x14ac:dyDescent="0.35">
      <c r="A275" t="s">
        <v>121</v>
      </c>
      <c r="B275">
        <v>741</v>
      </c>
      <c r="C275" t="s">
        <v>45</v>
      </c>
      <c r="D275" t="s">
        <v>46</v>
      </c>
      <c r="E275" t="s">
        <v>47</v>
      </c>
      <c r="F275" t="s">
        <v>48</v>
      </c>
      <c r="G275" t="s">
        <v>49</v>
      </c>
      <c r="H275">
        <v>0.57049676176936148</v>
      </c>
      <c r="I275" t="s">
        <v>155</v>
      </c>
      <c r="J275">
        <v>36</v>
      </c>
      <c r="K275">
        <v>4</v>
      </c>
      <c r="L275">
        <v>-3.84</v>
      </c>
      <c r="M275">
        <v>3.84</v>
      </c>
    </row>
    <row r="276" spans="1:13" x14ac:dyDescent="0.35">
      <c r="A276" t="s">
        <v>33</v>
      </c>
      <c r="B276">
        <v>724</v>
      </c>
      <c r="C276" t="s">
        <v>45</v>
      </c>
      <c r="D276" t="s">
        <v>58</v>
      </c>
      <c r="E276" t="s">
        <v>50</v>
      </c>
      <c r="F276" t="s">
        <v>59</v>
      </c>
      <c r="G276" t="s">
        <v>60</v>
      </c>
      <c r="H276">
        <v>0.56753894254587312</v>
      </c>
      <c r="I276" t="s">
        <v>155</v>
      </c>
      <c r="J276">
        <v>36</v>
      </c>
      <c r="K276">
        <v>4</v>
      </c>
      <c r="L276">
        <v>-3.84</v>
      </c>
      <c r="M276">
        <v>3.84</v>
      </c>
    </row>
    <row r="277" spans="1:13" x14ac:dyDescent="0.35">
      <c r="A277" t="s">
        <v>132</v>
      </c>
      <c r="B277">
        <v>116</v>
      </c>
      <c r="C277" t="s">
        <v>18</v>
      </c>
      <c r="E277" t="s">
        <v>26</v>
      </c>
      <c r="F277" t="s">
        <v>27</v>
      </c>
      <c r="G277" t="s">
        <v>28</v>
      </c>
      <c r="H277">
        <v>0.56727328531058074</v>
      </c>
      <c r="I277" t="s">
        <v>155</v>
      </c>
      <c r="J277">
        <v>36</v>
      </c>
      <c r="K277">
        <v>4</v>
      </c>
      <c r="L277">
        <v>-3.84</v>
      </c>
      <c r="M277">
        <v>3.84</v>
      </c>
    </row>
    <row r="278" spans="1:13" x14ac:dyDescent="0.35">
      <c r="A278" t="s">
        <v>55</v>
      </c>
      <c r="B278">
        <v>741</v>
      </c>
      <c r="C278" t="s">
        <v>45</v>
      </c>
      <c r="D278" t="s">
        <v>46</v>
      </c>
      <c r="E278" t="s">
        <v>47</v>
      </c>
      <c r="F278" t="s">
        <v>48</v>
      </c>
      <c r="G278" t="s">
        <v>49</v>
      </c>
      <c r="H278">
        <v>0.56651228981181967</v>
      </c>
      <c r="I278" t="s">
        <v>155</v>
      </c>
      <c r="J278">
        <v>36</v>
      </c>
      <c r="K278">
        <v>4</v>
      </c>
      <c r="L278">
        <v>-3.84</v>
      </c>
      <c r="M278">
        <v>3.84</v>
      </c>
    </row>
    <row r="279" spans="1:13" x14ac:dyDescent="0.35">
      <c r="A279" t="s">
        <v>136</v>
      </c>
      <c r="B279">
        <v>729</v>
      </c>
      <c r="C279" t="s">
        <v>45</v>
      </c>
      <c r="D279" t="s">
        <v>46</v>
      </c>
      <c r="E279" t="s">
        <v>50</v>
      </c>
      <c r="F279" t="s">
        <v>51</v>
      </c>
      <c r="G279" t="s">
        <v>52</v>
      </c>
      <c r="H279">
        <v>0.56491902701336572</v>
      </c>
      <c r="I279" t="s">
        <v>155</v>
      </c>
      <c r="J279">
        <v>36</v>
      </c>
      <c r="K279">
        <v>4</v>
      </c>
      <c r="L279">
        <v>-3.84</v>
      </c>
      <c r="M279">
        <v>3.84</v>
      </c>
    </row>
    <row r="280" spans="1:13" x14ac:dyDescent="0.35">
      <c r="A280" t="s">
        <v>123</v>
      </c>
      <c r="B280">
        <v>116</v>
      </c>
      <c r="C280" t="s">
        <v>18</v>
      </c>
      <c r="E280" t="s">
        <v>26</v>
      </c>
      <c r="F280" t="s">
        <v>27</v>
      </c>
      <c r="G280" t="s">
        <v>28</v>
      </c>
      <c r="H280">
        <v>0.56362947512794315</v>
      </c>
      <c r="I280" t="s">
        <v>155</v>
      </c>
      <c r="J280">
        <v>36</v>
      </c>
      <c r="K280">
        <v>4</v>
      </c>
      <c r="L280">
        <v>-3.84</v>
      </c>
      <c r="M280">
        <v>3.84</v>
      </c>
    </row>
    <row r="281" spans="1:13" x14ac:dyDescent="0.35">
      <c r="A281" t="s">
        <v>107</v>
      </c>
      <c r="B281">
        <v>724</v>
      </c>
      <c r="C281" t="s">
        <v>45</v>
      </c>
      <c r="D281" t="s">
        <v>58</v>
      </c>
      <c r="E281" t="s">
        <v>50</v>
      </c>
      <c r="F281" t="s">
        <v>59</v>
      </c>
      <c r="G281" t="s">
        <v>60</v>
      </c>
      <c r="H281">
        <v>0.56152288965722208</v>
      </c>
      <c r="I281" t="s">
        <v>155</v>
      </c>
      <c r="J281">
        <v>36</v>
      </c>
      <c r="K281">
        <v>4</v>
      </c>
      <c r="L281">
        <v>-3.84</v>
      </c>
      <c r="M281">
        <v>3.84</v>
      </c>
    </row>
    <row r="282" spans="1:13" x14ac:dyDescent="0.35">
      <c r="A282" t="s">
        <v>102</v>
      </c>
      <c r="B282">
        <v>117</v>
      </c>
      <c r="C282" t="s">
        <v>18</v>
      </c>
      <c r="E282" t="s">
        <v>19</v>
      </c>
      <c r="F282" t="s">
        <v>20</v>
      </c>
      <c r="G282" t="s">
        <v>21</v>
      </c>
      <c r="H282">
        <v>0.55839865120994359</v>
      </c>
      <c r="I282" t="s">
        <v>155</v>
      </c>
      <c r="J282">
        <v>36</v>
      </c>
      <c r="K282">
        <v>4</v>
      </c>
      <c r="L282">
        <v>-3.84</v>
      </c>
      <c r="M282">
        <v>3.84</v>
      </c>
    </row>
    <row r="283" spans="1:13" x14ac:dyDescent="0.35">
      <c r="A283" t="s">
        <v>109</v>
      </c>
      <c r="B283">
        <v>724</v>
      </c>
      <c r="C283" t="s">
        <v>45</v>
      </c>
      <c r="D283" t="s">
        <v>58</v>
      </c>
      <c r="E283" t="s">
        <v>50</v>
      </c>
      <c r="F283" t="s">
        <v>59</v>
      </c>
      <c r="G283" t="s">
        <v>60</v>
      </c>
      <c r="H283">
        <v>0.55821907962394246</v>
      </c>
      <c r="I283" t="s">
        <v>155</v>
      </c>
      <c r="J283">
        <v>36</v>
      </c>
      <c r="K283">
        <v>4</v>
      </c>
      <c r="L283">
        <v>-3.84</v>
      </c>
      <c r="M283">
        <v>3.84</v>
      </c>
    </row>
    <row r="284" spans="1:13" x14ac:dyDescent="0.35">
      <c r="A284" t="s">
        <v>134</v>
      </c>
      <c r="B284">
        <v>741</v>
      </c>
      <c r="C284" t="s">
        <v>45</v>
      </c>
      <c r="D284" t="s">
        <v>46</v>
      </c>
      <c r="E284" t="s">
        <v>47</v>
      </c>
      <c r="F284" t="s">
        <v>48</v>
      </c>
      <c r="G284" t="s">
        <v>49</v>
      </c>
      <c r="H284">
        <v>0.55565346388025605</v>
      </c>
      <c r="I284" t="s">
        <v>155</v>
      </c>
      <c r="J284">
        <v>36</v>
      </c>
      <c r="K284">
        <v>4</v>
      </c>
      <c r="L284">
        <v>-3.84</v>
      </c>
      <c r="M284">
        <v>3.84</v>
      </c>
    </row>
    <row r="285" spans="1:13" x14ac:dyDescent="0.35">
      <c r="A285" t="s">
        <v>90</v>
      </c>
      <c r="B285">
        <v>737</v>
      </c>
      <c r="C285" t="s">
        <v>45</v>
      </c>
      <c r="D285" t="s">
        <v>58</v>
      </c>
      <c r="E285" t="s">
        <v>47</v>
      </c>
      <c r="F285" t="s">
        <v>61</v>
      </c>
      <c r="G285" t="s">
        <v>62</v>
      </c>
      <c r="H285">
        <v>0.5550462384379341</v>
      </c>
      <c r="I285" t="s">
        <v>155</v>
      </c>
      <c r="J285">
        <v>36</v>
      </c>
      <c r="K285">
        <v>4</v>
      </c>
      <c r="L285">
        <v>-3.84</v>
      </c>
      <c r="M285">
        <v>3.84</v>
      </c>
    </row>
    <row r="286" spans="1:13" x14ac:dyDescent="0.35">
      <c r="A286" t="s">
        <v>140</v>
      </c>
      <c r="B286">
        <v>724</v>
      </c>
      <c r="C286" t="s">
        <v>45</v>
      </c>
      <c r="D286" t="s">
        <v>58</v>
      </c>
      <c r="E286" t="s">
        <v>50</v>
      </c>
      <c r="F286" t="s">
        <v>59</v>
      </c>
      <c r="G286" t="s">
        <v>60</v>
      </c>
      <c r="H286">
        <v>0.55338884782186148</v>
      </c>
      <c r="I286" t="s">
        <v>155</v>
      </c>
      <c r="J286">
        <v>36</v>
      </c>
      <c r="K286">
        <v>4</v>
      </c>
      <c r="L286">
        <v>-3.84</v>
      </c>
      <c r="M286">
        <v>3.84</v>
      </c>
    </row>
    <row r="287" spans="1:13" x14ac:dyDescent="0.35">
      <c r="A287" t="s">
        <v>136</v>
      </c>
      <c r="B287">
        <v>737</v>
      </c>
      <c r="C287" t="s">
        <v>45</v>
      </c>
      <c r="D287" t="s">
        <v>58</v>
      </c>
      <c r="E287" t="s">
        <v>47</v>
      </c>
      <c r="F287" t="s">
        <v>61</v>
      </c>
      <c r="G287" t="s">
        <v>62</v>
      </c>
      <c r="H287">
        <v>0.55326328924409673</v>
      </c>
      <c r="I287" t="s">
        <v>155</v>
      </c>
      <c r="J287">
        <v>36</v>
      </c>
      <c r="K287">
        <v>4</v>
      </c>
      <c r="L287">
        <v>-3.84</v>
      </c>
      <c r="M287">
        <v>3.84</v>
      </c>
    </row>
    <row r="288" spans="1:13" x14ac:dyDescent="0.35">
      <c r="A288" t="s">
        <v>84</v>
      </c>
      <c r="B288">
        <v>724</v>
      </c>
      <c r="C288" t="s">
        <v>45</v>
      </c>
      <c r="D288" t="s">
        <v>58</v>
      </c>
      <c r="E288" t="s">
        <v>50</v>
      </c>
      <c r="F288" t="s">
        <v>59</v>
      </c>
      <c r="G288" t="s">
        <v>60</v>
      </c>
      <c r="H288">
        <v>0.55256377040339566</v>
      </c>
      <c r="I288" t="s">
        <v>155</v>
      </c>
      <c r="J288">
        <v>36</v>
      </c>
      <c r="K288">
        <v>4</v>
      </c>
      <c r="L288">
        <v>-3.84</v>
      </c>
      <c r="M288">
        <v>3.84</v>
      </c>
    </row>
    <row r="289" spans="1:13" x14ac:dyDescent="0.35">
      <c r="A289" t="s">
        <v>70</v>
      </c>
      <c r="B289">
        <v>741</v>
      </c>
      <c r="C289" t="s">
        <v>45</v>
      </c>
      <c r="D289" t="s">
        <v>46</v>
      </c>
      <c r="E289" t="s">
        <v>47</v>
      </c>
      <c r="F289" t="s">
        <v>48</v>
      </c>
      <c r="G289" t="s">
        <v>49</v>
      </c>
      <c r="H289">
        <v>0.55218453222604236</v>
      </c>
      <c r="I289" t="s">
        <v>155</v>
      </c>
      <c r="J289">
        <v>36</v>
      </c>
      <c r="K289">
        <v>4</v>
      </c>
      <c r="L289">
        <v>-3.84</v>
      </c>
      <c r="M289">
        <v>3.84</v>
      </c>
    </row>
    <row r="290" spans="1:13" x14ac:dyDescent="0.35">
      <c r="A290" t="s">
        <v>134</v>
      </c>
      <c r="B290">
        <v>116</v>
      </c>
      <c r="C290" t="s">
        <v>18</v>
      </c>
      <c r="E290" t="s">
        <v>26</v>
      </c>
      <c r="F290" t="s">
        <v>27</v>
      </c>
      <c r="G290" t="s">
        <v>28</v>
      </c>
      <c r="H290">
        <v>0.54855464876195292</v>
      </c>
      <c r="I290" t="s">
        <v>155</v>
      </c>
      <c r="J290">
        <v>36</v>
      </c>
      <c r="K290">
        <v>4</v>
      </c>
      <c r="L290">
        <v>-3.84</v>
      </c>
      <c r="M290">
        <v>3.84</v>
      </c>
    </row>
    <row r="291" spans="1:13" x14ac:dyDescent="0.35">
      <c r="A291" t="s">
        <v>141</v>
      </c>
      <c r="B291">
        <v>741</v>
      </c>
      <c r="C291" t="s">
        <v>45</v>
      </c>
      <c r="D291" t="s">
        <v>46</v>
      </c>
      <c r="E291" t="s">
        <v>47</v>
      </c>
      <c r="F291" t="s">
        <v>48</v>
      </c>
      <c r="G291" t="s">
        <v>49</v>
      </c>
      <c r="H291">
        <v>0.54846612590144195</v>
      </c>
      <c r="I291" t="s">
        <v>155</v>
      </c>
      <c r="J291">
        <v>36</v>
      </c>
      <c r="K291">
        <v>4</v>
      </c>
      <c r="L291">
        <v>-3.84</v>
      </c>
      <c r="M291">
        <v>3.84</v>
      </c>
    </row>
    <row r="292" spans="1:13" x14ac:dyDescent="0.35">
      <c r="A292" t="s">
        <v>138</v>
      </c>
      <c r="B292">
        <v>116</v>
      </c>
      <c r="C292" t="s">
        <v>18</v>
      </c>
      <c r="E292" t="s">
        <v>26</v>
      </c>
      <c r="F292" t="s">
        <v>27</v>
      </c>
      <c r="G292" t="s">
        <v>28</v>
      </c>
      <c r="H292">
        <v>0.54582404553144492</v>
      </c>
      <c r="I292" t="s">
        <v>155</v>
      </c>
      <c r="J292">
        <v>36</v>
      </c>
      <c r="K292">
        <v>4</v>
      </c>
      <c r="L292">
        <v>-3.84</v>
      </c>
      <c r="M292">
        <v>3.84</v>
      </c>
    </row>
    <row r="293" spans="1:13" x14ac:dyDescent="0.35">
      <c r="A293" t="s">
        <v>57</v>
      </c>
      <c r="B293">
        <v>117</v>
      </c>
      <c r="C293" t="s">
        <v>18</v>
      </c>
      <c r="E293" t="s">
        <v>19</v>
      </c>
      <c r="F293" t="s">
        <v>20</v>
      </c>
      <c r="G293" t="s">
        <v>21</v>
      </c>
      <c r="H293">
        <v>0.54454851744599087</v>
      </c>
      <c r="I293" t="s">
        <v>155</v>
      </c>
      <c r="J293">
        <v>36</v>
      </c>
      <c r="K293">
        <v>4</v>
      </c>
      <c r="L293">
        <v>-3.84</v>
      </c>
      <c r="M293">
        <v>3.84</v>
      </c>
    </row>
    <row r="294" spans="1:13" x14ac:dyDescent="0.35">
      <c r="A294" t="s">
        <v>126</v>
      </c>
      <c r="B294">
        <v>724</v>
      </c>
      <c r="C294" t="s">
        <v>45</v>
      </c>
      <c r="D294" t="s">
        <v>58</v>
      </c>
      <c r="E294" t="s">
        <v>50</v>
      </c>
      <c r="F294" t="s">
        <v>59</v>
      </c>
      <c r="G294" t="s">
        <v>60</v>
      </c>
      <c r="H294">
        <v>0.54358815878034639</v>
      </c>
      <c r="I294" t="s">
        <v>155</v>
      </c>
      <c r="J294">
        <v>36</v>
      </c>
      <c r="K294">
        <v>4</v>
      </c>
      <c r="L294">
        <v>-3.84</v>
      </c>
      <c r="M294">
        <v>3.84</v>
      </c>
    </row>
    <row r="295" spans="1:13" x14ac:dyDescent="0.35">
      <c r="A295" t="s">
        <v>138</v>
      </c>
      <c r="B295">
        <v>741</v>
      </c>
      <c r="C295" t="s">
        <v>45</v>
      </c>
      <c r="D295" t="s">
        <v>46</v>
      </c>
      <c r="E295" t="s">
        <v>47</v>
      </c>
      <c r="F295" t="s">
        <v>48</v>
      </c>
      <c r="G295" t="s">
        <v>49</v>
      </c>
      <c r="H295">
        <v>0.54232473892171629</v>
      </c>
      <c r="I295" t="s">
        <v>155</v>
      </c>
      <c r="J295">
        <v>36</v>
      </c>
      <c r="K295">
        <v>4</v>
      </c>
      <c r="L295">
        <v>-3.84</v>
      </c>
      <c r="M295">
        <v>3.84</v>
      </c>
    </row>
    <row r="296" spans="1:13" x14ac:dyDescent="0.35">
      <c r="A296" t="s">
        <v>128</v>
      </c>
      <c r="B296">
        <v>116</v>
      </c>
      <c r="C296" t="s">
        <v>18</v>
      </c>
      <c r="E296" t="s">
        <v>26</v>
      </c>
      <c r="F296" t="s">
        <v>27</v>
      </c>
      <c r="G296" t="s">
        <v>28</v>
      </c>
      <c r="H296">
        <v>0.54111187514286097</v>
      </c>
      <c r="I296" t="s">
        <v>155</v>
      </c>
      <c r="J296">
        <v>36</v>
      </c>
      <c r="K296">
        <v>4</v>
      </c>
      <c r="L296">
        <v>-3.84</v>
      </c>
      <c r="M296">
        <v>3.84</v>
      </c>
    </row>
    <row r="297" spans="1:13" x14ac:dyDescent="0.35">
      <c r="A297" t="s">
        <v>89</v>
      </c>
      <c r="B297">
        <v>724</v>
      </c>
      <c r="C297" t="s">
        <v>45</v>
      </c>
      <c r="D297" t="s">
        <v>58</v>
      </c>
      <c r="E297" t="s">
        <v>50</v>
      </c>
      <c r="F297" t="s">
        <v>59</v>
      </c>
      <c r="G297" t="s">
        <v>60</v>
      </c>
      <c r="H297">
        <v>0.54046503681237834</v>
      </c>
      <c r="I297" t="s">
        <v>155</v>
      </c>
      <c r="J297">
        <v>36</v>
      </c>
      <c r="K297">
        <v>4</v>
      </c>
      <c r="L297">
        <v>-3.84</v>
      </c>
      <c r="M297">
        <v>3.84</v>
      </c>
    </row>
    <row r="298" spans="1:13" x14ac:dyDescent="0.35">
      <c r="A298" t="s">
        <v>32</v>
      </c>
      <c r="B298">
        <v>724</v>
      </c>
      <c r="C298" t="s">
        <v>45</v>
      </c>
      <c r="D298" t="s">
        <v>58</v>
      </c>
      <c r="E298" t="s">
        <v>50</v>
      </c>
      <c r="F298" t="s">
        <v>59</v>
      </c>
      <c r="G298" t="s">
        <v>60</v>
      </c>
      <c r="H298">
        <v>0.54040618603203372</v>
      </c>
      <c r="I298" t="s">
        <v>155</v>
      </c>
      <c r="J298">
        <v>36</v>
      </c>
      <c r="K298">
        <v>4</v>
      </c>
      <c r="L298">
        <v>-3.84</v>
      </c>
      <c r="M298">
        <v>3.84</v>
      </c>
    </row>
    <row r="299" spans="1:13" x14ac:dyDescent="0.35">
      <c r="A299" t="s">
        <v>137</v>
      </c>
      <c r="B299">
        <v>737</v>
      </c>
      <c r="C299" t="s">
        <v>45</v>
      </c>
      <c r="D299" t="s">
        <v>58</v>
      </c>
      <c r="E299" t="s">
        <v>47</v>
      </c>
      <c r="F299" t="s">
        <v>61</v>
      </c>
      <c r="G299" t="s">
        <v>62</v>
      </c>
      <c r="H299">
        <v>0.53968228487221259</v>
      </c>
      <c r="I299" t="s">
        <v>155</v>
      </c>
      <c r="J299">
        <v>36</v>
      </c>
      <c r="K299">
        <v>4</v>
      </c>
      <c r="L299">
        <v>-3.84</v>
      </c>
      <c r="M299">
        <v>3.84</v>
      </c>
    </row>
    <row r="300" spans="1:13" x14ac:dyDescent="0.35">
      <c r="A300" t="s">
        <v>89</v>
      </c>
      <c r="B300">
        <v>729</v>
      </c>
      <c r="C300" t="s">
        <v>45</v>
      </c>
      <c r="D300" t="s">
        <v>46</v>
      </c>
      <c r="E300" t="s">
        <v>50</v>
      </c>
      <c r="F300" t="s">
        <v>51</v>
      </c>
      <c r="G300" t="s">
        <v>52</v>
      </c>
      <c r="H300">
        <v>0.5324241397865711</v>
      </c>
      <c r="I300" t="s">
        <v>155</v>
      </c>
      <c r="J300">
        <v>36</v>
      </c>
      <c r="K300">
        <v>4</v>
      </c>
      <c r="L300">
        <v>-3.84</v>
      </c>
      <c r="M300">
        <v>3.84</v>
      </c>
    </row>
    <row r="301" spans="1:13" x14ac:dyDescent="0.35">
      <c r="A301" t="s">
        <v>98</v>
      </c>
      <c r="B301">
        <v>116</v>
      </c>
      <c r="C301" t="s">
        <v>18</v>
      </c>
      <c r="E301" t="s">
        <v>26</v>
      </c>
      <c r="F301" t="s">
        <v>27</v>
      </c>
      <c r="G301" t="s">
        <v>28</v>
      </c>
      <c r="H301">
        <v>0.53021596292644568</v>
      </c>
      <c r="I301" t="s">
        <v>155</v>
      </c>
      <c r="J301">
        <v>36</v>
      </c>
      <c r="K301">
        <v>4</v>
      </c>
      <c r="L301">
        <v>-3.84</v>
      </c>
      <c r="M301">
        <v>3.84</v>
      </c>
    </row>
    <row r="302" spans="1:13" x14ac:dyDescent="0.35">
      <c r="A302" t="s">
        <v>111</v>
      </c>
      <c r="B302">
        <v>724</v>
      </c>
      <c r="C302" t="s">
        <v>45</v>
      </c>
      <c r="D302" t="s">
        <v>58</v>
      </c>
      <c r="E302" t="s">
        <v>50</v>
      </c>
      <c r="F302" t="s">
        <v>59</v>
      </c>
      <c r="G302" t="s">
        <v>60</v>
      </c>
      <c r="H302">
        <v>0.52864538359080515</v>
      </c>
      <c r="I302" t="s">
        <v>155</v>
      </c>
      <c r="J302">
        <v>36</v>
      </c>
      <c r="K302">
        <v>4</v>
      </c>
      <c r="L302">
        <v>-3.84</v>
      </c>
      <c r="M302">
        <v>3.84</v>
      </c>
    </row>
    <row r="303" spans="1:13" x14ac:dyDescent="0.35">
      <c r="A303" t="s">
        <v>109</v>
      </c>
      <c r="B303">
        <v>737</v>
      </c>
      <c r="C303" t="s">
        <v>45</v>
      </c>
      <c r="D303" t="s">
        <v>58</v>
      </c>
      <c r="E303" t="s">
        <v>47</v>
      </c>
      <c r="F303" t="s">
        <v>61</v>
      </c>
      <c r="G303" t="s">
        <v>62</v>
      </c>
      <c r="H303">
        <v>0.52641627214648223</v>
      </c>
      <c r="I303" t="s">
        <v>155</v>
      </c>
      <c r="J303">
        <v>36</v>
      </c>
      <c r="K303">
        <v>4</v>
      </c>
      <c r="L303">
        <v>-3.84</v>
      </c>
      <c r="M303">
        <v>3.84</v>
      </c>
    </row>
    <row r="304" spans="1:13" x14ac:dyDescent="0.35">
      <c r="A304" t="s">
        <v>118</v>
      </c>
      <c r="B304">
        <v>729</v>
      </c>
      <c r="C304" t="s">
        <v>45</v>
      </c>
      <c r="D304" t="s">
        <v>46</v>
      </c>
      <c r="E304" t="s">
        <v>50</v>
      </c>
      <c r="F304" t="s">
        <v>51</v>
      </c>
      <c r="G304" t="s">
        <v>52</v>
      </c>
      <c r="H304">
        <v>0.52550329195403389</v>
      </c>
      <c r="I304" t="s">
        <v>155</v>
      </c>
      <c r="J304">
        <v>36</v>
      </c>
      <c r="K304">
        <v>4</v>
      </c>
      <c r="L304">
        <v>-3.84</v>
      </c>
      <c r="M304">
        <v>3.84</v>
      </c>
    </row>
    <row r="305" spans="1:13" x14ac:dyDescent="0.35">
      <c r="A305" t="s">
        <v>115</v>
      </c>
      <c r="B305">
        <v>741</v>
      </c>
      <c r="C305" t="s">
        <v>45</v>
      </c>
      <c r="D305" t="s">
        <v>46</v>
      </c>
      <c r="E305" t="s">
        <v>47</v>
      </c>
      <c r="F305" t="s">
        <v>48</v>
      </c>
      <c r="G305" t="s">
        <v>49</v>
      </c>
      <c r="H305">
        <v>0.52383212751477659</v>
      </c>
      <c r="I305" t="s">
        <v>155</v>
      </c>
      <c r="J305">
        <v>36</v>
      </c>
      <c r="K305">
        <v>4</v>
      </c>
      <c r="L305">
        <v>-3.84</v>
      </c>
      <c r="M305">
        <v>3.84</v>
      </c>
    </row>
    <row r="306" spans="1:13" x14ac:dyDescent="0.35">
      <c r="A306" t="s">
        <v>129</v>
      </c>
      <c r="B306">
        <v>729</v>
      </c>
      <c r="C306" t="s">
        <v>45</v>
      </c>
      <c r="D306" t="s">
        <v>46</v>
      </c>
      <c r="E306" t="s">
        <v>50</v>
      </c>
      <c r="F306" t="s">
        <v>51</v>
      </c>
      <c r="G306" t="s">
        <v>52</v>
      </c>
      <c r="H306">
        <v>0.52327695577108935</v>
      </c>
      <c r="I306" t="s">
        <v>155</v>
      </c>
      <c r="J306">
        <v>36</v>
      </c>
      <c r="K306">
        <v>4</v>
      </c>
      <c r="L306">
        <v>-3.84</v>
      </c>
      <c r="M306">
        <v>3.84</v>
      </c>
    </row>
    <row r="307" spans="1:13" x14ac:dyDescent="0.35">
      <c r="A307" t="s">
        <v>125</v>
      </c>
      <c r="B307">
        <v>737</v>
      </c>
      <c r="C307" t="s">
        <v>45</v>
      </c>
      <c r="D307" t="s">
        <v>58</v>
      </c>
      <c r="E307" t="s">
        <v>47</v>
      </c>
      <c r="F307" t="s">
        <v>61</v>
      </c>
      <c r="G307" t="s">
        <v>62</v>
      </c>
      <c r="H307">
        <v>0.52300334634899459</v>
      </c>
      <c r="I307" t="s">
        <v>155</v>
      </c>
      <c r="J307">
        <v>36</v>
      </c>
      <c r="K307">
        <v>4</v>
      </c>
      <c r="L307">
        <v>-3.84</v>
      </c>
      <c r="M307">
        <v>3.84</v>
      </c>
    </row>
    <row r="308" spans="1:13" x14ac:dyDescent="0.35">
      <c r="A308" t="s">
        <v>82</v>
      </c>
      <c r="B308">
        <v>741</v>
      </c>
      <c r="C308" t="s">
        <v>45</v>
      </c>
      <c r="D308" t="s">
        <v>46</v>
      </c>
      <c r="E308" t="s">
        <v>47</v>
      </c>
      <c r="F308" t="s">
        <v>48</v>
      </c>
      <c r="G308" t="s">
        <v>49</v>
      </c>
      <c r="H308">
        <v>0.52049291775233875</v>
      </c>
      <c r="I308" t="s">
        <v>155</v>
      </c>
      <c r="J308">
        <v>36</v>
      </c>
      <c r="K308">
        <v>4</v>
      </c>
      <c r="L308">
        <v>-3.84</v>
      </c>
      <c r="M308">
        <v>3.84</v>
      </c>
    </row>
    <row r="309" spans="1:13" x14ac:dyDescent="0.35">
      <c r="A309" t="s">
        <v>123</v>
      </c>
      <c r="B309">
        <v>729</v>
      </c>
      <c r="C309" t="s">
        <v>45</v>
      </c>
      <c r="D309" t="s">
        <v>46</v>
      </c>
      <c r="E309" t="s">
        <v>50</v>
      </c>
      <c r="F309" t="s">
        <v>51</v>
      </c>
      <c r="G309" t="s">
        <v>52</v>
      </c>
      <c r="H309">
        <v>0.51980190794546755</v>
      </c>
      <c r="I309" t="s">
        <v>155</v>
      </c>
      <c r="J309">
        <v>36</v>
      </c>
      <c r="K309">
        <v>4</v>
      </c>
      <c r="L309">
        <v>-3.84</v>
      </c>
      <c r="M309">
        <v>3.84</v>
      </c>
    </row>
    <row r="310" spans="1:13" x14ac:dyDescent="0.35">
      <c r="A310" t="s">
        <v>142</v>
      </c>
      <c r="B310">
        <v>116</v>
      </c>
      <c r="C310" t="s">
        <v>18</v>
      </c>
      <c r="E310" t="s">
        <v>26</v>
      </c>
      <c r="F310" t="s">
        <v>27</v>
      </c>
      <c r="G310" t="s">
        <v>28</v>
      </c>
      <c r="H310">
        <v>0.51906978269190474</v>
      </c>
      <c r="I310" t="s">
        <v>155</v>
      </c>
      <c r="J310">
        <v>36</v>
      </c>
      <c r="K310">
        <v>4</v>
      </c>
      <c r="L310">
        <v>-3.84</v>
      </c>
      <c r="M310">
        <v>3.84</v>
      </c>
    </row>
    <row r="311" spans="1:13" x14ac:dyDescent="0.35">
      <c r="A311" t="s">
        <v>133</v>
      </c>
      <c r="B311">
        <v>737</v>
      </c>
      <c r="C311" t="s">
        <v>45</v>
      </c>
      <c r="D311" t="s">
        <v>58</v>
      </c>
      <c r="E311" t="s">
        <v>47</v>
      </c>
      <c r="F311" t="s">
        <v>61</v>
      </c>
      <c r="G311" t="s">
        <v>62</v>
      </c>
      <c r="H311">
        <v>0.51643050053378536</v>
      </c>
      <c r="I311" t="s">
        <v>155</v>
      </c>
      <c r="J311">
        <v>36</v>
      </c>
      <c r="K311">
        <v>4</v>
      </c>
      <c r="L311">
        <v>-3.84</v>
      </c>
      <c r="M311">
        <v>3.84</v>
      </c>
    </row>
    <row r="312" spans="1:13" x14ac:dyDescent="0.35">
      <c r="A312" t="s">
        <v>67</v>
      </c>
      <c r="B312">
        <v>117</v>
      </c>
      <c r="C312" t="s">
        <v>18</v>
      </c>
      <c r="E312" t="s">
        <v>19</v>
      </c>
      <c r="F312" t="s">
        <v>20</v>
      </c>
      <c r="G312" t="s">
        <v>21</v>
      </c>
      <c r="H312">
        <v>0.51629109597591072</v>
      </c>
      <c r="I312" t="s">
        <v>155</v>
      </c>
      <c r="J312">
        <v>36</v>
      </c>
      <c r="K312">
        <v>4</v>
      </c>
      <c r="L312">
        <v>-3.84</v>
      </c>
      <c r="M312">
        <v>3.84</v>
      </c>
    </row>
    <row r="313" spans="1:13" x14ac:dyDescent="0.35">
      <c r="A313" t="s">
        <v>132</v>
      </c>
      <c r="B313">
        <v>724</v>
      </c>
      <c r="C313" t="s">
        <v>45</v>
      </c>
      <c r="D313" t="s">
        <v>58</v>
      </c>
      <c r="E313" t="s">
        <v>50</v>
      </c>
      <c r="F313" t="s">
        <v>59</v>
      </c>
      <c r="G313" t="s">
        <v>60</v>
      </c>
      <c r="H313">
        <v>0.51551251421389188</v>
      </c>
      <c r="I313" t="s">
        <v>155</v>
      </c>
      <c r="J313">
        <v>36</v>
      </c>
      <c r="K313">
        <v>4</v>
      </c>
      <c r="L313">
        <v>-3.84</v>
      </c>
      <c r="M313">
        <v>3.84</v>
      </c>
    </row>
    <row r="314" spans="1:13" x14ac:dyDescent="0.35">
      <c r="A314" t="s">
        <v>133</v>
      </c>
      <c r="B314">
        <v>724</v>
      </c>
      <c r="C314" t="s">
        <v>45</v>
      </c>
      <c r="D314" t="s">
        <v>58</v>
      </c>
      <c r="E314" t="s">
        <v>50</v>
      </c>
      <c r="F314" t="s">
        <v>59</v>
      </c>
      <c r="G314" t="s">
        <v>60</v>
      </c>
      <c r="H314">
        <v>0.5150672559733841</v>
      </c>
      <c r="I314" t="s">
        <v>155</v>
      </c>
      <c r="J314">
        <v>36</v>
      </c>
      <c r="K314">
        <v>4</v>
      </c>
      <c r="L314">
        <v>-3.84</v>
      </c>
      <c r="M314">
        <v>3.84</v>
      </c>
    </row>
    <row r="315" spans="1:13" x14ac:dyDescent="0.35">
      <c r="A315" t="s">
        <v>143</v>
      </c>
      <c r="B315">
        <v>117</v>
      </c>
      <c r="C315" t="s">
        <v>18</v>
      </c>
      <c r="E315" t="s">
        <v>19</v>
      </c>
      <c r="F315" t="s">
        <v>20</v>
      </c>
      <c r="G315" t="s">
        <v>21</v>
      </c>
      <c r="H315">
        <v>0.51182359174247682</v>
      </c>
      <c r="I315" t="s">
        <v>155</v>
      </c>
      <c r="J315">
        <v>36</v>
      </c>
      <c r="K315">
        <v>4</v>
      </c>
      <c r="L315">
        <v>-3.84</v>
      </c>
      <c r="M315">
        <v>3.84</v>
      </c>
    </row>
    <row r="316" spans="1:13" x14ac:dyDescent="0.35">
      <c r="A316" t="s">
        <v>82</v>
      </c>
      <c r="B316">
        <v>737</v>
      </c>
      <c r="C316" t="s">
        <v>45</v>
      </c>
      <c r="D316" t="s">
        <v>58</v>
      </c>
      <c r="E316" t="s">
        <v>47</v>
      </c>
      <c r="F316" t="s">
        <v>61</v>
      </c>
      <c r="G316" t="s">
        <v>62</v>
      </c>
      <c r="H316">
        <v>0.51180390111030627</v>
      </c>
      <c r="I316" t="s">
        <v>155</v>
      </c>
      <c r="J316">
        <v>36</v>
      </c>
      <c r="K316">
        <v>4</v>
      </c>
      <c r="L316">
        <v>-3.84</v>
      </c>
      <c r="M316">
        <v>3.84</v>
      </c>
    </row>
    <row r="317" spans="1:13" x14ac:dyDescent="0.35">
      <c r="A317" t="s">
        <v>95</v>
      </c>
      <c r="B317">
        <v>116</v>
      </c>
      <c r="C317" t="s">
        <v>18</v>
      </c>
      <c r="E317" t="s">
        <v>26</v>
      </c>
      <c r="F317" t="s">
        <v>27</v>
      </c>
      <c r="G317" t="s">
        <v>28</v>
      </c>
      <c r="H317">
        <v>0.51140670427258283</v>
      </c>
      <c r="I317" t="s">
        <v>155</v>
      </c>
      <c r="J317">
        <v>36</v>
      </c>
      <c r="K317">
        <v>4</v>
      </c>
      <c r="L317">
        <v>-3.84</v>
      </c>
      <c r="M317">
        <v>3.84</v>
      </c>
    </row>
    <row r="318" spans="1:13" x14ac:dyDescent="0.35">
      <c r="A318" t="s">
        <v>117</v>
      </c>
      <c r="B318">
        <v>729</v>
      </c>
      <c r="C318" t="s">
        <v>45</v>
      </c>
      <c r="D318" t="s">
        <v>46</v>
      </c>
      <c r="E318" t="s">
        <v>50</v>
      </c>
      <c r="F318" t="s">
        <v>51</v>
      </c>
      <c r="G318" t="s">
        <v>52</v>
      </c>
      <c r="H318">
        <v>0.51132131718979745</v>
      </c>
      <c r="I318" t="s">
        <v>155</v>
      </c>
      <c r="J318">
        <v>36</v>
      </c>
      <c r="K318">
        <v>4</v>
      </c>
      <c r="L318">
        <v>-3.84</v>
      </c>
      <c r="M318">
        <v>3.84</v>
      </c>
    </row>
    <row r="319" spans="1:13" x14ac:dyDescent="0.35">
      <c r="A319" t="s">
        <v>141</v>
      </c>
      <c r="B319">
        <v>116</v>
      </c>
      <c r="C319" t="s">
        <v>18</v>
      </c>
      <c r="E319" t="s">
        <v>26</v>
      </c>
      <c r="F319" t="s">
        <v>27</v>
      </c>
      <c r="G319" t="s">
        <v>28</v>
      </c>
      <c r="H319">
        <v>0.50922096644470893</v>
      </c>
      <c r="I319" t="s">
        <v>155</v>
      </c>
      <c r="J319">
        <v>36</v>
      </c>
      <c r="K319">
        <v>4</v>
      </c>
      <c r="L319">
        <v>-3.84</v>
      </c>
      <c r="M319">
        <v>3.84</v>
      </c>
    </row>
    <row r="320" spans="1:13" x14ac:dyDescent="0.35">
      <c r="A320" t="s">
        <v>114</v>
      </c>
      <c r="B320">
        <v>724</v>
      </c>
      <c r="C320" t="s">
        <v>45</v>
      </c>
      <c r="D320" t="s">
        <v>58</v>
      </c>
      <c r="E320" t="s">
        <v>50</v>
      </c>
      <c r="F320" t="s">
        <v>59</v>
      </c>
      <c r="G320" t="s">
        <v>60</v>
      </c>
      <c r="H320">
        <v>0.50851403759154357</v>
      </c>
      <c r="I320" t="s">
        <v>155</v>
      </c>
      <c r="J320">
        <v>36</v>
      </c>
      <c r="K320">
        <v>4</v>
      </c>
      <c r="L320">
        <v>-3.84</v>
      </c>
      <c r="M320">
        <v>3.84</v>
      </c>
    </row>
    <row r="321" spans="1:13" x14ac:dyDescent="0.35">
      <c r="A321" t="s">
        <v>85</v>
      </c>
      <c r="B321">
        <v>737</v>
      </c>
      <c r="C321" t="s">
        <v>45</v>
      </c>
      <c r="D321" t="s">
        <v>58</v>
      </c>
      <c r="E321" t="s">
        <v>47</v>
      </c>
      <c r="F321" t="s">
        <v>61</v>
      </c>
      <c r="G321" t="s">
        <v>62</v>
      </c>
      <c r="H321">
        <v>0.50754569322349874</v>
      </c>
      <c r="I321" t="s">
        <v>155</v>
      </c>
      <c r="J321">
        <v>36</v>
      </c>
      <c r="K321">
        <v>4</v>
      </c>
      <c r="L321">
        <v>-3.84</v>
      </c>
      <c r="M321">
        <v>3.84</v>
      </c>
    </row>
    <row r="322" spans="1:13" x14ac:dyDescent="0.35">
      <c r="A322" t="s">
        <v>134</v>
      </c>
      <c r="B322">
        <v>737</v>
      </c>
      <c r="C322" t="s">
        <v>45</v>
      </c>
      <c r="D322" t="s">
        <v>58</v>
      </c>
      <c r="E322" t="s">
        <v>47</v>
      </c>
      <c r="F322" t="s">
        <v>61</v>
      </c>
      <c r="G322" t="s">
        <v>62</v>
      </c>
      <c r="H322">
        <v>0.50706426863580878</v>
      </c>
      <c r="I322" t="s">
        <v>155</v>
      </c>
      <c r="J322">
        <v>36</v>
      </c>
      <c r="K322">
        <v>4</v>
      </c>
      <c r="L322">
        <v>-3.84</v>
      </c>
      <c r="M322">
        <v>3.84</v>
      </c>
    </row>
    <row r="323" spans="1:13" x14ac:dyDescent="0.35">
      <c r="A323" t="s">
        <v>144</v>
      </c>
      <c r="B323">
        <v>729</v>
      </c>
      <c r="C323" t="s">
        <v>45</v>
      </c>
      <c r="D323" t="s">
        <v>46</v>
      </c>
      <c r="E323" t="s">
        <v>50</v>
      </c>
      <c r="F323" t="s">
        <v>51</v>
      </c>
      <c r="G323" t="s">
        <v>52</v>
      </c>
      <c r="H323">
        <v>0.50694946219931991</v>
      </c>
      <c r="I323" t="s">
        <v>155</v>
      </c>
      <c r="J323">
        <v>36</v>
      </c>
      <c r="K323">
        <v>4</v>
      </c>
      <c r="L323">
        <v>-3.84</v>
      </c>
      <c r="M323">
        <v>3.84</v>
      </c>
    </row>
    <row r="324" spans="1:13" x14ac:dyDescent="0.35">
      <c r="A324" t="s">
        <v>110</v>
      </c>
      <c r="B324">
        <v>117</v>
      </c>
      <c r="C324" t="s">
        <v>18</v>
      </c>
      <c r="E324" t="s">
        <v>19</v>
      </c>
      <c r="F324" t="s">
        <v>20</v>
      </c>
      <c r="G324" t="s">
        <v>21</v>
      </c>
      <c r="H324">
        <v>0.50168820542420156</v>
      </c>
      <c r="I324" t="s">
        <v>155</v>
      </c>
      <c r="J324">
        <v>36</v>
      </c>
      <c r="K324">
        <v>4</v>
      </c>
      <c r="L324">
        <v>-3.84</v>
      </c>
      <c r="M324">
        <v>3.84</v>
      </c>
    </row>
    <row r="325" spans="1:13" x14ac:dyDescent="0.35">
      <c r="A325" t="s">
        <v>73</v>
      </c>
      <c r="B325">
        <v>116</v>
      </c>
      <c r="C325" t="s">
        <v>18</v>
      </c>
      <c r="E325" t="s">
        <v>26</v>
      </c>
      <c r="F325" t="s">
        <v>27</v>
      </c>
      <c r="G325" t="s">
        <v>28</v>
      </c>
      <c r="H325">
        <v>0.50108229294358209</v>
      </c>
      <c r="I325" t="s">
        <v>155</v>
      </c>
      <c r="J325">
        <v>36</v>
      </c>
      <c r="K325">
        <v>4</v>
      </c>
      <c r="L325">
        <v>-3.84</v>
      </c>
      <c r="M325">
        <v>3.84</v>
      </c>
    </row>
    <row r="326" spans="1:13" x14ac:dyDescent="0.35">
      <c r="A326" t="s">
        <v>136</v>
      </c>
      <c r="B326">
        <v>741</v>
      </c>
      <c r="C326" t="s">
        <v>45</v>
      </c>
      <c r="D326" t="s">
        <v>46</v>
      </c>
      <c r="E326" t="s">
        <v>47</v>
      </c>
      <c r="F326" t="s">
        <v>48</v>
      </c>
      <c r="G326" t="s">
        <v>49</v>
      </c>
      <c r="H326">
        <v>0.50078330221758072</v>
      </c>
      <c r="I326" t="s">
        <v>155</v>
      </c>
      <c r="J326">
        <v>36</v>
      </c>
      <c r="K326">
        <v>4</v>
      </c>
      <c r="L326">
        <v>-3.84</v>
      </c>
      <c r="M326">
        <v>3.84</v>
      </c>
    </row>
    <row r="327" spans="1:13" x14ac:dyDescent="0.35">
      <c r="A327" t="s">
        <v>67</v>
      </c>
      <c r="B327">
        <v>724</v>
      </c>
      <c r="C327" t="s">
        <v>45</v>
      </c>
      <c r="D327" t="s">
        <v>58</v>
      </c>
      <c r="E327" t="s">
        <v>50</v>
      </c>
      <c r="F327" t="s">
        <v>59</v>
      </c>
      <c r="G327" t="s">
        <v>60</v>
      </c>
      <c r="H327">
        <v>0.49860910590431828</v>
      </c>
      <c r="I327" t="s">
        <v>156</v>
      </c>
      <c r="J327">
        <v>36</v>
      </c>
      <c r="K327">
        <v>4</v>
      </c>
      <c r="L327">
        <v>-3.84</v>
      </c>
      <c r="M327">
        <v>3.84</v>
      </c>
    </row>
    <row r="328" spans="1:13" x14ac:dyDescent="0.35">
      <c r="A328" t="s">
        <v>25</v>
      </c>
      <c r="B328">
        <v>724</v>
      </c>
      <c r="C328" t="s">
        <v>45</v>
      </c>
      <c r="D328" t="s">
        <v>58</v>
      </c>
      <c r="E328" t="s">
        <v>50</v>
      </c>
      <c r="F328" t="s">
        <v>59</v>
      </c>
      <c r="G328" t="s">
        <v>60</v>
      </c>
      <c r="H328">
        <v>0.49822457421899202</v>
      </c>
      <c r="I328" t="s">
        <v>156</v>
      </c>
      <c r="J328">
        <v>36</v>
      </c>
      <c r="K328">
        <v>4</v>
      </c>
      <c r="L328">
        <v>-3.84</v>
      </c>
      <c r="M328">
        <v>3.84</v>
      </c>
    </row>
    <row r="329" spans="1:13" x14ac:dyDescent="0.35">
      <c r="A329" t="s">
        <v>55</v>
      </c>
      <c r="B329">
        <v>737</v>
      </c>
      <c r="C329" t="s">
        <v>45</v>
      </c>
      <c r="D329" t="s">
        <v>58</v>
      </c>
      <c r="E329" t="s">
        <v>47</v>
      </c>
      <c r="F329" t="s">
        <v>61</v>
      </c>
      <c r="G329" t="s">
        <v>62</v>
      </c>
      <c r="H329">
        <v>0.49768522814263438</v>
      </c>
      <c r="I329" t="s">
        <v>156</v>
      </c>
      <c r="J329">
        <v>36</v>
      </c>
      <c r="K329">
        <v>4</v>
      </c>
      <c r="L329">
        <v>-3.84</v>
      </c>
      <c r="M329">
        <v>3.84</v>
      </c>
    </row>
    <row r="330" spans="1:13" x14ac:dyDescent="0.35">
      <c r="A330" t="s">
        <v>125</v>
      </c>
      <c r="B330">
        <v>117</v>
      </c>
      <c r="C330" t="s">
        <v>18</v>
      </c>
      <c r="E330" t="s">
        <v>19</v>
      </c>
      <c r="F330" t="s">
        <v>20</v>
      </c>
      <c r="G330" t="s">
        <v>21</v>
      </c>
      <c r="H330">
        <v>0.4948167169284261</v>
      </c>
      <c r="I330" t="s">
        <v>156</v>
      </c>
      <c r="J330">
        <v>36</v>
      </c>
      <c r="K330">
        <v>4</v>
      </c>
      <c r="L330">
        <v>-3.84</v>
      </c>
      <c r="M330">
        <v>3.84</v>
      </c>
    </row>
    <row r="331" spans="1:13" x14ac:dyDescent="0.35">
      <c r="A331" t="s">
        <v>70</v>
      </c>
      <c r="B331">
        <v>724</v>
      </c>
      <c r="C331" t="s">
        <v>45</v>
      </c>
      <c r="D331" t="s">
        <v>58</v>
      </c>
      <c r="E331" t="s">
        <v>50</v>
      </c>
      <c r="F331" t="s">
        <v>59</v>
      </c>
      <c r="G331" t="s">
        <v>60</v>
      </c>
      <c r="H331">
        <v>0.49341646099530068</v>
      </c>
      <c r="I331" t="s">
        <v>156</v>
      </c>
      <c r="J331">
        <v>36</v>
      </c>
      <c r="K331">
        <v>4</v>
      </c>
      <c r="L331">
        <v>-3.84</v>
      </c>
      <c r="M331">
        <v>3.84</v>
      </c>
    </row>
    <row r="332" spans="1:13" x14ac:dyDescent="0.35">
      <c r="A332" t="s">
        <v>141</v>
      </c>
      <c r="B332">
        <v>737</v>
      </c>
      <c r="C332" t="s">
        <v>45</v>
      </c>
      <c r="D332" t="s">
        <v>58</v>
      </c>
      <c r="E332" t="s">
        <v>47</v>
      </c>
      <c r="F332" t="s">
        <v>61</v>
      </c>
      <c r="G332" t="s">
        <v>62</v>
      </c>
      <c r="H332">
        <v>0.49303576503691832</v>
      </c>
      <c r="I332" t="s">
        <v>156</v>
      </c>
      <c r="J332">
        <v>36</v>
      </c>
      <c r="K332">
        <v>4</v>
      </c>
      <c r="L332">
        <v>-3.84</v>
      </c>
      <c r="M332">
        <v>3.84</v>
      </c>
    </row>
    <row r="333" spans="1:13" x14ac:dyDescent="0.35">
      <c r="A333" t="s">
        <v>123</v>
      </c>
      <c r="B333">
        <v>737</v>
      </c>
      <c r="C333" t="s">
        <v>45</v>
      </c>
      <c r="D333" t="s">
        <v>58</v>
      </c>
      <c r="E333" t="s">
        <v>47</v>
      </c>
      <c r="F333" t="s">
        <v>61</v>
      </c>
      <c r="G333" t="s">
        <v>62</v>
      </c>
      <c r="H333">
        <v>0.49296897211339269</v>
      </c>
      <c r="I333" t="s">
        <v>156</v>
      </c>
      <c r="J333">
        <v>36</v>
      </c>
      <c r="K333">
        <v>4</v>
      </c>
      <c r="L333">
        <v>-3.84</v>
      </c>
      <c r="M333">
        <v>3.84</v>
      </c>
    </row>
    <row r="334" spans="1:13" x14ac:dyDescent="0.35">
      <c r="A334" t="s">
        <v>145</v>
      </c>
      <c r="B334">
        <v>724</v>
      </c>
      <c r="C334" t="s">
        <v>45</v>
      </c>
      <c r="D334" t="s">
        <v>58</v>
      </c>
      <c r="E334" t="s">
        <v>50</v>
      </c>
      <c r="F334" t="s">
        <v>59</v>
      </c>
      <c r="G334" t="s">
        <v>60</v>
      </c>
      <c r="H334">
        <v>0.48899223286428878</v>
      </c>
      <c r="I334" t="s">
        <v>156</v>
      </c>
      <c r="J334">
        <v>36</v>
      </c>
      <c r="K334">
        <v>4</v>
      </c>
      <c r="L334">
        <v>-3.84</v>
      </c>
      <c r="M334">
        <v>3.84</v>
      </c>
    </row>
    <row r="335" spans="1:13" x14ac:dyDescent="0.35">
      <c r="A335" t="s">
        <v>87</v>
      </c>
      <c r="B335">
        <v>724</v>
      </c>
      <c r="C335" t="s">
        <v>45</v>
      </c>
      <c r="D335" t="s">
        <v>58</v>
      </c>
      <c r="E335" t="s">
        <v>50</v>
      </c>
      <c r="F335" t="s">
        <v>59</v>
      </c>
      <c r="G335" t="s">
        <v>60</v>
      </c>
      <c r="H335">
        <v>0.48655573551593939</v>
      </c>
      <c r="I335" t="s">
        <v>156</v>
      </c>
      <c r="J335">
        <v>36</v>
      </c>
      <c r="K335">
        <v>4</v>
      </c>
      <c r="L335">
        <v>-3.84</v>
      </c>
      <c r="M335">
        <v>3.84</v>
      </c>
    </row>
    <row r="336" spans="1:13" x14ac:dyDescent="0.35">
      <c r="A336" t="s">
        <v>143</v>
      </c>
      <c r="B336">
        <v>729</v>
      </c>
      <c r="C336" t="s">
        <v>45</v>
      </c>
      <c r="D336" t="s">
        <v>46</v>
      </c>
      <c r="E336" t="s">
        <v>50</v>
      </c>
      <c r="F336" t="s">
        <v>51</v>
      </c>
      <c r="G336" t="s">
        <v>52</v>
      </c>
      <c r="H336">
        <v>0.48588224984141198</v>
      </c>
      <c r="I336" t="s">
        <v>156</v>
      </c>
      <c r="J336">
        <v>36</v>
      </c>
      <c r="K336">
        <v>4</v>
      </c>
      <c r="L336">
        <v>-3.84</v>
      </c>
      <c r="M336">
        <v>3.84</v>
      </c>
    </row>
    <row r="337" spans="1:13" x14ac:dyDescent="0.35">
      <c r="A337" t="s">
        <v>125</v>
      </c>
      <c r="B337">
        <v>724</v>
      </c>
      <c r="C337" t="s">
        <v>45</v>
      </c>
      <c r="D337" t="s">
        <v>58</v>
      </c>
      <c r="E337" t="s">
        <v>50</v>
      </c>
      <c r="F337" t="s">
        <v>59</v>
      </c>
      <c r="G337" t="s">
        <v>60</v>
      </c>
      <c r="H337">
        <v>0.4848550656043995</v>
      </c>
      <c r="I337" t="s">
        <v>156</v>
      </c>
      <c r="J337">
        <v>36</v>
      </c>
      <c r="K337">
        <v>4</v>
      </c>
      <c r="L337">
        <v>-3.84</v>
      </c>
      <c r="M337">
        <v>3.84</v>
      </c>
    </row>
    <row r="338" spans="1:13" x14ac:dyDescent="0.35">
      <c r="A338" t="s">
        <v>87</v>
      </c>
      <c r="B338">
        <v>737</v>
      </c>
      <c r="C338" t="s">
        <v>45</v>
      </c>
      <c r="D338" t="s">
        <v>58</v>
      </c>
      <c r="E338" t="s">
        <v>47</v>
      </c>
      <c r="F338" t="s">
        <v>61</v>
      </c>
      <c r="G338" t="s">
        <v>62</v>
      </c>
      <c r="H338">
        <v>0.48271261149907541</v>
      </c>
      <c r="I338" t="s">
        <v>156</v>
      </c>
      <c r="J338">
        <v>36</v>
      </c>
      <c r="K338">
        <v>4</v>
      </c>
      <c r="L338">
        <v>-3.84</v>
      </c>
      <c r="M338">
        <v>3.84</v>
      </c>
    </row>
    <row r="339" spans="1:13" x14ac:dyDescent="0.35">
      <c r="A339" t="s">
        <v>129</v>
      </c>
      <c r="B339">
        <v>724</v>
      </c>
      <c r="C339" t="s">
        <v>45</v>
      </c>
      <c r="D339" t="s">
        <v>58</v>
      </c>
      <c r="E339" t="s">
        <v>50</v>
      </c>
      <c r="F339" t="s">
        <v>59</v>
      </c>
      <c r="G339" t="s">
        <v>60</v>
      </c>
      <c r="H339">
        <v>0.48255468956823871</v>
      </c>
      <c r="I339" t="s">
        <v>156</v>
      </c>
      <c r="J339">
        <v>36</v>
      </c>
      <c r="K339">
        <v>4</v>
      </c>
      <c r="L339">
        <v>-3.84</v>
      </c>
      <c r="M339">
        <v>3.84</v>
      </c>
    </row>
    <row r="340" spans="1:13" x14ac:dyDescent="0.35">
      <c r="A340" t="s">
        <v>127</v>
      </c>
      <c r="B340">
        <v>737</v>
      </c>
      <c r="C340" t="s">
        <v>45</v>
      </c>
      <c r="D340" t="s">
        <v>58</v>
      </c>
      <c r="E340" t="s">
        <v>47</v>
      </c>
      <c r="F340" t="s">
        <v>61</v>
      </c>
      <c r="G340" t="s">
        <v>62</v>
      </c>
      <c r="H340">
        <v>0.48083902665800832</v>
      </c>
      <c r="I340" t="s">
        <v>156</v>
      </c>
      <c r="J340">
        <v>36</v>
      </c>
      <c r="K340">
        <v>4</v>
      </c>
      <c r="L340">
        <v>-3.84</v>
      </c>
      <c r="M340">
        <v>3.84</v>
      </c>
    </row>
    <row r="341" spans="1:13" x14ac:dyDescent="0.35">
      <c r="A341" t="s">
        <v>121</v>
      </c>
      <c r="B341">
        <v>117</v>
      </c>
      <c r="C341" t="s">
        <v>18</v>
      </c>
      <c r="E341" t="s">
        <v>19</v>
      </c>
      <c r="F341" t="s">
        <v>20</v>
      </c>
      <c r="G341" t="s">
        <v>21</v>
      </c>
      <c r="H341">
        <v>0.48060941265562063</v>
      </c>
      <c r="I341" t="s">
        <v>156</v>
      </c>
      <c r="J341">
        <v>36</v>
      </c>
      <c r="K341">
        <v>4</v>
      </c>
      <c r="L341">
        <v>-3.84</v>
      </c>
      <c r="M341">
        <v>3.84</v>
      </c>
    </row>
    <row r="342" spans="1:13" x14ac:dyDescent="0.35">
      <c r="A342" t="s">
        <v>140</v>
      </c>
      <c r="B342">
        <v>737</v>
      </c>
      <c r="C342" t="s">
        <v>45</v>
      </c>
      <c r="D342" t="s">
        <v>58</v>
      </c>
      <c r="E342" t="s">
        <v>47</v>
      </c>
      <c r="F342" t="s">
        <v>61</v>
      </c>
      <c r="G342" t="s">
        <v>62</v>
      </c>
      <c r="H342">
        <v>0.47918869381770929</v>
      </c>
      <c r="I342" t="s">
        <v>156</v>
      </c>
      <c r="J342">
        <v>36</v>
      </c>
      <c r="K342">
        <v>4</v>
      </c>
      <c r="L342">
        <v>-3.84</v>
      </c>
      <c r="M342">
        <v>3.84</v>
      </c>
    </row>
    <row r="343" spans="1:13" x14ac:dyDescent="0.35">
      <c r="A343" t="s">
        <v>138</v>
      </c>
      <c r="B343">
        <v>729</v>
      </c>
      <c r="C343" t="s">
        <v>45</v>
      </c>
      <c r="D343" t="s">
        <v>46</v>
      </c>
      <c r="E343" t="s">
        <v>50</v>
      </c>
      <c r="F343" t="s">
        <v>51</v>
      </c>
      <c r="G343" t="s">
        <v>52</v>
      </c>
      <c r="H343">
        <v>0.47915182260489031</v>
      </c>
      <c r="I343" t="s">
        <v>156</v>
      </c>
      <c r="J343">
        <v>36</v>
      </c>
      <c r="K343">
        <v>4</v>
      </c>
      <c r="L343">
        <v>-3.84</v>
      </c>
      <c r="M343">
        <v>3.84</v>
      </c>
    </row>
    <row r="344" spans="1:13" x14ac:dyDescent="0.35">
      <c r="A344" t="s">
        <v>63</v>
      </c>
      <c r="B344">
        <v>116</v>
      </c>
      <c r="C344" t="s">
        <v>18</v>
      </c>
      <c r="E344" t="s">
        <v>26</v>
      </c>
      <c r="F344" t="s">
        <v>27</v>
      </c>
      <c r="G344" t="s">
        <v>28</v>
      </c>
      <c r="H344">
        <v>0.47736087395609239</v>
      </c>
      <c r="I344" t="s">
        <v>156</v>
      </c>
      <c r="J344">
        <v>36</v>
      </c>
      <c r="K344">
        <v>4</v>
      </c>
      <c r="L344">
        <v>-3.84</v>
      </c>
      <c r="M344">
        <v>3.84</v>
      </c>
    </row>
    <row r="345" spans="1:13" x14ac:dyDescent="0.35">
      <c r="A345" t="s">
        <v>146</v>
      </c>
      <c r="B345">
        <v>737</v>
      </c>
      <c r="C345" t="s">
        <v>45</v>
      </c>
      <c r="D345" t="s">
        <v>58</v>
      </c>
      <c r="E345" t="s">
        <v>47</v>
      </c>
      <c r="F345" t="s">
        <v>61</v>
      </c>
      <c r="G345" t="s">
        <v>62</v>
      </c>
      <c r="H345">
        <v>0.47646223023918349</v>
      </c>
      <c r="I345" t="s">
        <v>156</v>
      </c>
      <c r="J345">
        <v>36</v>
      </c>
      <c r="K345">
        <v>4</v>
      </c>
      <c r="L345">
        <v>-3.84</v>
      </c>
      <c r="M345">
        <v>3.84</v>
      </c>
    </row>
    <row r="346" spans="1:13" x14ac:dyDescent="0.35">
      <c r="A346" t="s">
        <v>75</v>
      </c>
      <c r="B346">
        <v>737</v>
      </c>
      <c r="C346" t="s">
        <v>45</v>
      </c>
      <c r="D346" t="s">
        <v>58</v>
      </c>
      <c r="E346" t="s">
        <v>47</v>
      </c>
      <c r="F346" t="s">
        <v>61</v>
      </c>
      <c r="G346" t="s">
        <v>62</v>
      </c>
      <c r="H346">
        <v>0.4756000878531555</v>
      </c>
      <c r="I346" t="s">
        <v>156</v>
      </c>
      <c r="J346">
        <v>36</v>
      </c>
      <c r="K346">
        <v>4</v>
      </c>
      <c r="L346">
        <v>-3.84</v>
      </c>
      <c r="M346">
        <v>3.84</v>
      </c>
    </row>
    <row r="347" spans="1:13" x14ac:dyDescent="0.35">
      <c r="A347" t="s">
        <v>134</v>
      </c>
      <c r="B347">
        <v>724</v>
      </c>
      <c r="C347" t="s">
        <v>45</v>
      </c>
      <c r="D347" t="s">
        <v>58</v>
      </c>
      <c r="E347" t="s">
        <v>50</v>
      </c>
      <c r="F347" t="s">
        <v>59</v>
      </c>
      <c r="G347" t="s">
        <v>60</v>
      </c>
      <c r="H347">
        <v>0.4753341965417166</v>
      </c>
      <c r="I347" t="s">
        <v>156</v>
      </c>
      <c r="J347">
        <v>36</v>
      </c>
      <c r="K347">
        <v>4</v>
      </c>
      <c r="L347">
        <v>-3.84</v>
      </c>
      <c r="M347">
        <v>3.84</v>
      </c>
    </row>
    <row r="348" spans="1:13" x14ac:dyDescent="0.35">
      <c r="A348" t="s">
        <v>118</v>
      </c>
      <c r="B348">
        <v>724</v>
      </c>
      <c r="C348" t="s">
        <v>45</v>
      </c>
      <c r="D348" t="s">
        <v>58</v>
      </c>
      <c r="E348" t="s">
        <v>50</v>
      </c>
      <c r="F348" t="s">
        <v>59</v>
      </c>
      <c r="G348" t="s">
        <v>60</v>
      </c>
      <c r="H348">
        <v>0.47518163602978181</v>
      </c>
      <c r="I348" t="s">
        <v>156</v>
      </c>
      <c r="J348">
        <v>36</v>
      </c>
      <c r="K348">
        <v>4</v>
      </c>
      <c r="L348">
        <v>-3.84</v>
      </c>
      <c r="M348">
        <v>3.84</v>
      </c>
    </row>
    <row r="349" spans="1:13" x14ac:dyDescent="0.35">
      <c r="A349" t="s">
        <v>127</v>
      </c>
      <c r="B349">
        <v>729</v>
      </c>
      <c r="C349" t="s">
        <v>45</v>
      </c>
      <c r="D349" t="s">
        <v>46</v>
      </c>
      <c r="E349" t="s">
        <v>50</v>
      </c>
      <c r="F349" t="s">
        <v>51</v>
      </c>
      <c r="G349" t="s">
        <v>52</v>
      </c>
      <c r="H349">
        <v>0.47424449678964481</v>
      </c>
      <c r="I349" t="s">
        <v>156</v>
      </c>
      <c r="J349">
        <v>36</v>
      </c>
      <c r="K349">
        <v>4</v>
      </c>
      <c r="L349">
        <v>-3.84</v>
      </c>
      <c r="M349">
        <v>3.84</v>
      </c>
    </row>
    <row r="350" spans="1:13" x14ac:dyDescent="0.35">
      <c r="A350" t="s">
        <v>147</v>
      </c>
      <c r="B350">
        <v>724</v>
      </c>
      <c r="C350" t="s">
        <v>45</v>
      </c>
      <c r="D350" t="s">
        <v>58</v>
      </c>
      <c r="E350" t="s">
        <v>50</v>
      </c>
      <c r="F350" t="s">
        <v>59</v>
      </c>
      <c r="G350" t="s">
        <v>60</v>
      </c>
      <c r="H350">
        <v>0.46924751370182638</v>
      </c>
      <c r="I350" t="s">
        <v>156</v>
      </c>
      <c r="J350">
        <v>36</v>
      </c>
      <c r="K350">
        <v>4</v>
      </c>
      <c r="L350">
        <v>-3.84</v>
      </c>
      <c r="M350">
        <v>3.84</v>
      </c>
    </row>
    <row r="351" spans="1:13" x14ac:dyDescent="0.35">
      <c r="A351" t="s">
        <v>100</v>
      </c>
      <c r="B351">
        <v>724</v>
      </c>
      <c r="C351" t="s">
        <v>45</v>
      </c>
      <c r="D351" t="s">
        <v>58</v>
      </c>
      <c r="E351" t="s">
        <v>50</v>
      </c>
      <c r="F351" t="s">
        <v>59</v>
      </c>
      <c r="G351" t="s">
        <v>60</v>
      </c>
      <c r="H351">
        <v>0.46512319163796639</v>
      </c>
      <c r="I351" t="s">
        <v>156</v>
      </c>
      <c r="J351">
        <v>36</v>
      </c>
      <c r="K351">
        <v>4</v>
      </c>
      <c r="L351">
        <v>-3.84</v>
      </c>
      <c r="M351">
        <v>3.84</v>
      </c>
    </row>
    <row r="352" spans="1:13" x14ac:dyDescent="0.35">
      <c r="A352" t="s">
        <v>71</v>
      </c>
      <c r="B352">
        <v>737</v>
      </c>
      <c r="C352" t="s">
        <v>45</v>
      </c>
      <c r="D352" t="s">
        <v>58</v>
      </c>
      <c r="E352" t="s">
        <v>47</v>
      </c>
      <c r="F352" t="s">
        <v>61</v>
      </c>
      <c r="G352" t="s">
        <v>62</v>
      </c>
      <c r="H352">
        <v>0.46392147987586341</v>
      </c>
      <c r="I352" t="s">
        <v>156</v>
      </c>
      <c r="J352">
        <v>36</v>
      </c>
      <c r="K352">
        <v>4</v>
      </c>
      <c r="L352">
        <v>-3.84</v>
      </c>
      <c r="M352">
        <v>3.84</v>
      </c>
    </row>
    <row r="353" spans="1:13" x14ac:dyDescent="0.35">
      <c r="A353" t="s">
        <v>103</v>
      </c>
      <c r="B353">
        <v>724</v>
      </c>
      <c r="C353" t="s">
        <v>45</v>
      </c>
      <c r="D353" t="s">
        <v>58</v>
      </c>
      <c r="E353" t="s">
        <v>50</v>
      </c>
      <c r="F353" t="s">
        <v>59</v>
      </c>
      <c r="G353" t="s">
        <v>60</v>
      </c>
      <c r="H353">
        <v>0.46221416182213138</v>
      </c>
      <c r="I353" t="s">
        <v>156</v>
      </c>
      <c r="J353">
        <v>36</v>
      </c>
      <c r="K353">
        <v>4</v>
      </c>
      <c r="L353">
        <v>-3.84</v>
      </c>
      <c r="M353">
        <v>3.84</v>
      </c>
    </row>
    <row r="354" spans="1:13" x14ac:dyDescent="0.35">
      <c r="A354" t="s">
        <v>132</v>
      </c>
      <c r="B354">
        <v>729</v>
      </c>
      <c r="C354" t="s">
        <v>45</v>
      </c>
      <c r="D354" t="s">
        <v>46</v>
      </c>
      <c r="E354" t="s">
        <v>50</v>
      </c>
      <c r="F354" t="s">
        <v>51</v>
      </c>
      <c r="G354" t="s">
        <v>52</v>
      </c>
      <c r="H354">
        <v>0.45787653807177769</v>
      </c>
      <c r="I354" t="s">
        <v>156</v>
      </c>
      <c r="J354">
        <v>36</v>
      </c>
      <c r="K354">
        <v>4</v>
      </c>
      <c r="L354">
        <v>-3.84</v>
      </c>
      <c r="M354">
        <v>3.84</v>
      </c>
    </row>
    <row r="355" spans="1:13" x14ac:dyDescent="0.35">
      <c r="A355" t="s">
        <v>89</v>
      </c>
      <c r="B355">
        <v>741</v>
      </c>
      <c r="C355" t="s">
        <v>45</v>
      </c>
      <c r="D355" t="s">
        <v>46</v>
      </c>
      <c r="E355" t="s">
        <v>47</v>
      </c>
      <c r="F355" t="s">
        <v>48</v>
      </c>
      <c r="G355" t="s">
        <v>49</v>
      </c>
      <c r="H355">
        <v>0.45572107737975109</v>
      </c>
      <c r="I355" t="s">
        <v>156</v>
      </c>
      <c r="J355">
        <v>36</v>
      </c>
      <c r="K355">
        <v>4</v>
      </c>
      <c r="L355">
        <v>-3.84</v>
      </c>
      <c r="M355">
        <v>3.84</v>
      </c>
    </row>
    <row r="356" spans="1:13" x14ac:dyDescent="0.35">
      <c r="A356" t="s">
        <v>128</v>
      </c>
      <c r="B356">
        <v>724</v>
      </c>
      <c r="C356" t="s">
        <v>45</v>
      </c>
      <c r="D356" t="s">
        <v>58</v>
      </c>
      <c r="E356" t="s">
        <v>50</v>
      </c>
      <c r="F356" t="s">
        <v>59</v>
      </c>
      <c r="G356" t="s">
        <v>60</v>
      </c>
      <c r="H356">
        <v>0.45566921216871908</v>
      </c>
      <c r="I356" t="s">
        <v>156</v>
      </c>
      <c r="J356">
        <v>36</v>
      </c>
      <c r="K356">
        <v>4</v>
      </c>
      <c r="L356">
        <v>-3.84</v>
      </c>
      <c r="M356">
        <v>3.84</v>
      </c>
    </row>
    <row r="357" spans="1:13" x14ac:dyDescent="0.35">
      <c r="A357" t="s">
        <v>148</v>
      </c>
      <c r="B357">
        <v>724</v>
      </c>
      <c r="C357" t="s">
        <v>45</v>
      </c>
      <c r="D357" t="s">
        <v>58</v>
      </c>
      <c r="E357" t="s">
        <v>50</v>
      </c>
      <c r="F357" t="s">
        <v>59</v>
      </c>
      <c r="G357" t="s">
        <v>60</v>
      </c>
      <c r="H357">
        <v>0.45523373078749951</v>
      </c>
      <c r="I357" t="s">
        <v>156</v>
      </c>
      <c r="J357">
        <v>36</v>
      </c>
      <c r="K357">
        <v>4</v>
      </c>
      <c r="L357">
        <v>-3.84</v>
      </c>
      <c r="M357">
        <v>3.84</v>
      </c>
    </row>
    <row r="358" spans="1:13" x14ac:dyDescent="0.35">
      <c r="A358" t="s">
        <v>139</v>
      </c>
      <c r="B358">
        <v>741</v>
      </c>
      <c r="C358" t="s">
        <v>45</v>
      </c>
      <c r="D358" t="s">
        <v>46</v>
      </c>
      <c r="E358" t="s">
        <v>47</v>
      </c>
      <c r="F358" t="s">
        <v>48</v>
      </c>
      <c r="G358" t="s">
        <v>49</v>
      </c>
      <c r="H358">
        <v>0.45432008249384409</v>
      </c>
      <c r="I358" t="s">
        <v>156</v>
      </c>
      <c r="J358">
        <v>36</v>
      </c>
      <c r="K358">
        <v>4</v>
      </c>
      <c r="L358">
        <v>-3.84</v>
      </c>
      <c r="M358">
        <v>3.84</v>
      </c>
    </row>
    <row r="359" spans="1:13" x14ac:dyDescent="0.35">
      <c r="A359" t="s">
        <v>65</v>
      </c>
      <c r="B359">
        <v>741</v>
      </c>
      <c r="C359" t="s">
        <v>45</v>
      </c>
      <c r="D359" t="s">
        <v>46</v>
      </c>
      <c r="E359" t="s">
        <v>47</v>
      </c>
      <c r="F359" t="s">
        <v>48</v>
      </c>
      <c r="G359" t="s">
        <v>49</v>
      </c>
      <c r="H359">
        <v>0.45061275798278361</v>
      </c>
      <c r="I359" t="s">
        <v>156</v>
      </c>
      <c r="J359">
        <v>36</v>
      </c>
      <c r="K359">
        <v>4</v>
      </c>
      <c r="L359">
        <v>-3.84</v>
      </c>
      <c r="M359">
        <v>3.84</v>
      </c>
    </row>
    <row r="360" spans="1:13" x14ac:dyDescent="0.35">
      <c r="A360" t="s">
        <v>129</v>
      </c>
      <c r="B360">
        <v>737</v>
      </c>
      <c r="C360" t="s">
        <v>45</v>
      </c>
      <c r="D360" t="s">
        <v>58</v>
      </c>
      <c r="E360" t="s">
        <v>47</v>
      </c>
      <c r="F360" t="s">
        <v>61</v>
      </c>
      <c r="G360" t="s">
        <v>62</v>
      </c>
      <c r="H360">
        <v>0.45001955304165597</v>
      </c>
      <c r="I360" t="s">
        <v>156</v>
      </c>
      <c r="J360">
        <v>36</v>
      </c>
      <c r="K360">
        <v>4</v>
      </c>
      <c r="L360">
        <v>-3.84</v>
      </c>
      <c r="M360">
        <v>3.84</v>
      </c>
    </row>
    <row r="361" spans="1:13" x14ac:dyDescent="0.35">
      <c r="A361" t="s">
        <v>63</v>
      </c>
      <c r="B361">
        <v>117</v>
      </c>
      <c r="C361" t="s">
        <v>18</v>
      </c>
      <c r="E361" t="s">
        <v>19</v>
      </c>
      <c r="F361" t="s">
        <v>20</v>
      </c>
      <c r="G361" t="s">
        <v>21</v>
      </c>
      <c r="H361">
        <v>0.44981318469587611</v>
      </c>
      <c r="I361" t="s">
        <v>156</v>
      </c>
      <c r="J361">
        <v>36</v>
      </c>
      <c r="K361">
        <v>4</v>
      </c>
      <c r="L361">
        <v>-3.84</v>
      </c>
      <c r="M361">
        <v>3.84</v>
      </c>
    </row>
    <row r="362" spans="1:13" x14ac:dyDescent="0.35">
      <c r="A362" t="s">
        <v>84</v>
      </c>
      <c r="B362">
        <v>117</v>
      </c>
      <c r="C362" t="s">
        <v>18</v>
      </c>
      <c r="E362" t="s">
        <v>19</v>
      </c>
      <c r="F362" t="s">
        <v>20</v>
      </c>
      <c r="G362" t="s">
        <v>21</v>
      </c>
      <c r="H362">
        <v>0.44958164679832041</v>
      </c>
      <c r="I362" t="s">
        <v>156</v>
      </c>
      <c r="J362">
        <v>36</v>
      </c>
      <c r="K362">
        <v>4</v>
      </c>
      <c r="L362">
        <v>-3.84</v>
      </c>
      <c r="M362">
        <v>3.84</v>
      </c>
    </row>
    <row r="363" spans="1:13" x14ac:dyDescent="0.35">
      <c r="A363" t="s">
        <v>135</v>
      </c>
      <c r="B363">
        <v>117</v>
      </c>
      <c r="C363" t="s">
        <v>18</v>
      </c>
      <c r="E363" t="s">
        <v>19</v>
      </c>
      <c r="F363" t="s">
        <v>20</v>
      </c>
      <c r="G363" t="s">
        <v>21</v>
      </c>
      <c r="H363">
        <v>0.44920716037663938</v>
      </c>
      <c r="I363" t="s">
        <v>156</v>
      </c>
      <c r="J363">
        <v>36</v>
      </c>
      <c r="K363">
        <v>4</v>
      </c>
      <c r="L363">
        <v>-3.84</v>
      </c>
      <c r="M363">
        <v>3.84</v>
      </c>
    </row>
    <row r="364" spans="1:13" x14ac:dyDescent="0.35">
      <c r="A364" t="s">
        <v>149</v>
      </c>
      <c r="B364">
        <v>737</v>
      </c>
      <c r="C364" t="s">
        <v>45</v>
      </c>
      <c r="D364" t="s">
        <v>58</v>
      </c>
      <c r="E364" t="s">
        <v>47</v>
      </c>
      <c r="F364" t="s">
        <v>61</v>
      </c>
      <c r="G364" t="s">
        <v>62</v>
      </c>
      <c r="H364">
        <v>0.4480691138669835</v>
      </c>
      <c r="I364" t="s">
        <v>156</v>
      </c>
      <c r="J364">
        <v>36</v>
      </c>
      <c r="K364">
        <v>4</v>
      </c>
      <c r="L364">
        <v>-3.84</v>
      </c>
      <c r="M364">
        <v>3.84</v>
      </c>
    </row>
    <row r="365" spans="1:13" x14ac:dyDescent="0.35">
      <c r="A365" t="s">
        <v>120</v>
      </c>
      <c r="B365">
        <v>724</v>
      </c>
      <c r="C365" t="s">
        <v>45</v>
      </c>
      <c r="D365" t="s">
        <v>58</v>
      </c>
      <c r="E365" t="s">
        <v>50</v>
      </c>
      <c r="F365" t="s">
        <v>59</v>
      </c>
      <c r="G365" t="s">
        <v>60</v>
      </c>
      <c r="H365">
        <v>0.44532066782390872</v>
      </c>
      <c r="I365" t="s">
        <v>156</v>
      </c>
      <c r="J365">
        <v>36</v>
      </c>
      <c r="K365">
        <v>4</v>
      </c>
      <c r="L365">
        <v>-3.84</v>
      </c>
      <c r="M365">
        <v>3.84</v>
      </c>
    </row>
    <row r="366" spans="1:13" x14ac:dyDescent="0.35">
      <c r="A366" t="s">
        <v>145</v>
      </c>
      <c r="B366">
        <v>737</v>
      </c>
      <c r="C366" t="s">
        <v>45</v>
      </c>
      <c r="D366" t="s">
        <v>58</v>
      </c>
      <c r="E366" t="s">
        <v>47</v>
      </c>
      <c r="F366" t="s">
        <v>61</v>
      </c>
      <c r="G366" t="s">
        <v>62</v>
      </c>
      <c r="H366">
        <v>0.44329009627149352</v>
      </c>
      <c r="I366" t="s">
        <v>156</v>
      </c>
      <c r="J366">
        <v>36</v>
      </c>
      <c r="K366">
        <v>4</v>
      </c>
      <c r="L366">
        <v>-3.84</v>
      </c>
      <c r="M366">
        <v>3.84</v>
      </c>
    </row>
    <row r="367" spans="1:13" x14ac:dyDescent="0.35">
      <c r="A367" t="s">
        <v>141</v>
      </c>
      <c r="B367">
        <v>117</v>
      </c>
      <c r="C367" t="s">
        <v>18</v>
      </c>
      <c r="E367" t="s">
        <v>19</v>
      </c>
      <c r="F367" t="s">
        <v>20</v>
      </c>
      <c r="G367" t="s">
        <v>21</v>
      </c>
      <c r="H367">
        <v>0.43579932660208831</v>
      </c>
      <c r="I367" t="s">
        <v>156</v>
      </c>
      <c r="J367">
        <v>36</v>
      </c>
      <c r="K367">
        <v>4</v>
      </c>
      <c r="L367">
        <v>-3.84</v>
      </c>
      <c r="M367">
        <v>3.84</v>
      </c>
    </row>
    <row r="368" spans="1:13" x14ac:dyDescent="0.35">
      <c r="A368" t="s">
        <v>140</v>
      </c>
      <c r="B368">
        <v>741</v>
      </c>
      <c r="C368" t="s">
        <v>45</v>
      </c>
      <c r="D368" t="s">
        <v>46</v>
      </c>
      <c r="E368" t="s">
        <v>47</v>
      </c>
      <c r="F368" t="s">
        <v>48</v>
      </c>
      <c r="G368" t="s">
        <v>49</v>
      </c>
      <c r="H368">
        <v>0.43362984678485827</v>
      </c>
      <c r="I368" t="s">
        <v>156</v>
      </c>
      <c r="J368">
        <v>36</v>
      </c>
      <c r="K368">
        <v>4</v>
      </c>
      <c r="L368">
        <v>-3.84</v>
      </c>
      <c r="M368">
        <v>3.84</v>
      </c>
    </row>
    <row r="369" spans="1:13" x14ac:dyDescent="0.35">
      <c r="A369" t="s">
        <v>75</v>
      </c>
      <c r="B369">
        <v>724</v>
      </c>
      <c r="C369" t="s">
        <v>45</v>
      </c>
      <c r="D369" t="s">
        <v>58</v>
      </c>
      <c r="E369" t="s">
        <v>50</v>
      </c>
      <c r="F369" t="s">
        <v>59</v>
      </c>
      <c r="G369" t="s">
        <v>60</v>
      </c>
      <c r="H369">
        <v>0.43058359888813452</v>
      </c>
      <c r="I369" t="s">
        <v>156</v>
      </c>
      <c r="J369">
        <v>36</v>
      </c>
      <c r="K369">
        <v>4</v>
      </c>
      <c r="L369">
        <v>-3.84</v>
      </c>
      <c r="M369">
        <v>3.84</v>
      </c>
    </row>
    <row r="370" spans="1:13" x14ac:dyDescent="0.35">
      <c r="A370" t="s">
        <v>90</v>
      </c>
      <c r="B370">
        <v>116</v>
      </c>
      <c r="C370" t="s">
        <v>18</v>
      </c>
      <c r="E370" t="s">
        <v>26</v>
      </c>
      <c r="F370" t="s">
        <v>27</v>
      </c>
      <c r="G370" t="s">
        <v>28</v>
      </c>
      <c r="H370">
        <v>0.430478762784758</v>
      </c>
      <c r="I370" t="s">
        <v>156</v>
      </c>
      <c r="J370">
        <v>36</v>
      </c>
      <c r="K370">
        <v>4</v>
      </c>
      <c r="L370">
        <v>-3.84</v>
      </c>
      <c r="M370">
        <v>3.84</v>
      </c>
    </row>
    <row r="371" spans="1:13" x14ac:dyDescent="0.35">
      <c r="A371" t="s">
        <v>125</v>
      </c>
      <c r="B371">
        <v>116</v>
      </c>
      <c r="C371" t="s">
        <v>18</v>
      </c>
      <c r="E371" t="s">
        <v>26</v>
      </c>
      <c r="F371" t="s">
        <v>27</v>
      </c>
      <c r="G371" t="s">
        <v>28</v>
      </c>
      <c r="H371">
        <v>0.42892505015008298</v>
      </c>
      <c r="I371" t="s">
        <v>156</v>
      </c>
      <c r="J371">
        <v>36</v>
      </c>
      <c r="K371">
        <v>4</v>
      </c>
      <c r="L371">
        <v>-3.84</v>
      </c>
      <c r="M371">
        <v>3.84</v>
      </c>
    </row>
    <row r="372" spans="1:13" x14ac:dyDescent="0.35">
      <c r="A372" t="s">
        <v>150</v>
      </c>
      <c r="B372">
        <v>737</v>
      </c>
      <c r="C372" t="s">
        <v>45</v>
      </c>
      <c r="D372" t="s">
        <v>58</v>
      </c>
      <c r="E372" t="s">
        <v>47</v>
      </c>
      <c r="F372" t="s">
        <v>61</v>
      </c>
      <c r="G372" t="s">
        <v>62</v>
      </c>
      <c r="H372">
        <v>0.42842912312019771</v>
      </c>
      <c r="I372" t="s">
        <v>156</v>
      </c>
      <c r="J372">
        <v>36</v>
      </c>
      <c r="K372">
        <v>4</v>
      </c>
      <c r="L372">
        <v>-3.84</v>
      </c>
      <c r="M372">
        <v>3.84</v>
      </c>
    </row>
    <row r="373" spans="1:13" x14ac:dyDescent="0.35">
      <c r="A373" t="s">
        <v>100</v>
      </c>
      <c r="B373">
        <v>737</v>
      </c>
      <c r="C373" t="s">
        <v>45</v>
      </c>
      <c r="D373" t="s">
        <v>58</v>
      </c>
      <c r="E373" t="s">
        <v>47</v>
      </c>
      <c r="F373" t="s">
        <v>61</v>
      </c>
      <c r="G373" t="s">
        <v>62</v>
      </c>
      <c r="H373">
        <v>0.42571824612622128</v>
      </c>
      <c r="I373" t="s">
        <v>156</v>
      </c>
      <c r="J373">
        <v>36</v>
      </c>
      <c r="K373">
        <v>4</v>
      </c>
      <c r="L373">
        <v>-3.84</v>
      </c>
      <c r="M373">
        <v>3.84</v>
      </c>
    </row>
    <row r="374" spans="1:13" x14ac:dyDescent="0.35">
      <c r="A374" t="s">
        <v>128</v>
      </c>
      <c r="B374">
        <v>741</v>
      </c>
      <c r="C374" t="s">
        <v>45</v>
      </c>
      <c r="D374" t="s">
        <v>46</v>
      </c>
      <c r="E374" t="s">
        <v>47</v>
      </c>
      <c r="F374" t="s">
        <v>48</v>
      </c>
      <c r="G374" t="s">
        <v>49</v>
      </c>
      <c r="H374">
        <v>0.42544149033965112</v>
      </c>
      <c r="I374" t="s">
        <v>156</v>
      </c>
      <c r="J374">
        <v>36</v>
      </c>
      <c r="K374">
        <v>4</v>
      </c>
      <c r="L374">
        <v>-3.84</v>
      </c>
      <c r="M374">
        <v>3.84</v>
      </c>
    </row>
    <row r="375" spans="1:13" x14ac:dyDescent="0.35">
      <c r="A375" t="s">
        <v>117</v>
      </c>
      <c r="B375">
        <v>724</v>
      </c>
      <c r="C375" t="s">
        <v>45</v>
      </c>
      <c r="D375" t="s">
        <v>58</v>
      </c>
      <c r="E375" t="s">
        <v>50</v>
      </c>
      <c r="F375" t="s">
        <v>59</v>
      </c>
      <c r="G375" t="s">
        <v>60</v>
      </c>
      <c r="H375">
        <v>0.42503191269722779</v>
      </c>
      <c r="I375" t="s">
        <v>156</v>
      </c>
      <c r="J375">
        <v>36</v>
      </c>
      <c r="K375">
        <v>4</v>
      </c>
      <c r="L375">
        <v>-3.84</v>
      </c>
      <c r="M375">
        <v>3.84</v>
      </c>
    </row>
    <row r="376" spans="1:13" x14ac:dyDescent="0.35">
      <c r="A376" t="s">
        <v>107</v>
      </c>
      <c r="B376">
        <v>729</v>
      </c>
      <c r="C376" t="s">
        <v>45</v>
      </c>
      <c r="D376" t="s">
        <v>46</v>
      </c>
      <c r="E376" t="s">
        <v>50</v>
      </c>
      <c r="F376" t="s">
        <v>51</v>
      </c>
      <c r="G376" t="s">
        <v>52</v>
      </c>
      <c r="H376">
        <v>0.42329221287806501</v>
      </c>
      <c r="I376" t="s">
        <v>156</v>
      </c>
      <c r="J376">
        <v>36</v>
      </c>
      <c r="K376">
        <v>4</v>
      </c>
      <c r="L376">
        <v>-3.84</v>
      </c>
      <c r="M376">
        <v>3.84</v>
      </c>
    </row>
    <row r="377" spans="1:13" x14ac:dyDescent="0.35">
      <c r="A377" t="s">
        <v>150</v>
      </c>
      <c r="B377">
        <v>741</v>
      </c>
      <c r="C377" t="s">
        <v>45</v>
      </c>
      <c r="D377" t="s">
        <v>46</v>
      </c>
      <c r="E377" t="s">
        <v>47</v>
      </c>
      <c r="F377" t="s">
        <v>48</v>
      </c>
      <c r="G377" t="s">
        <v>49</v>
      </c>
      <c r="H377">
        <v>0.42227747598856918</v>
      </c>
      <c r="I377" t="s">
        <v>156</v>
      </c>
      <c r="J377">
        <v>36</v>
      </c>
      <c r="K377">
        <v>4</v>
      </c>
      <c r="L377">
        <v>-3.84</v>
      </c>
      <c r="M377">
        <v>3.84</v>
      </c>
    </row>
    <row r="378" spans="1:13" x14ac:dyDescent="0.35">
      <c r="A378" t="s">
        <v>116</v>
      </c>
      <c r="B378">
        <v>724</v>
      </c>
      <c r="C378" t="s">
        <v>45</v>
      </c>
      <c r="D378" t="s">
        <v>58</v>
      </c>
      <c r="E378" t="s">
        <v>50</v>
      </c>
      <c r="F378" t="s">
        <v>59</v>
      </c>
      <c r="G378" t="s">
        <v>60</v>
      </c>
      <c r="H378">
        <v>0.4212319689898712</v>
      </c>
      <c r="I378" t="s">
        <v>156</v>
      </c>
      <c r="J378">
        <v>36</v>
      </c>
      <c r="K378">
        <v>4</v>
      </c>
      <c r="L378">
        <v>-3.84</v>
      </c>
      <c r="M378">
        <v>3.84</v>
      </c>
    </row>
    <row r="379" spans="1:13" x14ac:dyDescent="0.35">
      <c r="A379" t="s">
        <v>114</v>
      </c>
      <c r="B379">
        <v>741</v>
      </c>
      <c r="C379" t="s">
        <v>45</v>
      </c>
      <c r="D379" t="s">
        <v>46</v>
      </c>
      <c r="E379" t="s">
        <v>47</v>
      </c>
      <c r="F379" t="s">
        <v>48</v>
      </c>
      <c r="G379" t="s">
        <v>49</v>
      </c>
      <c r="H379">
        <v>0.42075154968783052</v>
      </c>
      <c r="I379" t="s">
        <v>156</v>
      </c>
      <c r="J379">
        <v>36</v>
      </c>
      <c r="K379">
        <v>4</v>
      </c>
      <c r="L379">
        <v>-3.84</v>
      </c>
      <c r="M379">
        <v>3.84</v>
      </c>
    </row>
    <row r="380" spans="1:13" x14ac:dyDescent="0.35">
      <c r="A380" t="s">
        <v>80</v>
      </c>
      <c r="B380">
        <v>116</v>
      </c>
      <c r="C380" t="s">
        <v>18</v>
      </c>
      <c r="E380" t="s">
        <v>26</v>
      </c>
      <c r="F380" t="s">
        <v>27</v>
      </c>
      <c r="G380" t="s">
        <v>28</v>
      </c>
      <c r="H380">
        <v>0.42044669151370923</v>
      </c>
      <c r="I380" t="s">
        <v>156</v>
      </c>
      <c r="J380">
        <v>36</v>
      </c>
      <c r="K380">
        <v>4</v>
      </c>
      <c r="L380">
        <v>-3.84</v>
      </c>
      <c r="M380">
        <v>3.84</v>
      </c>
    </row>
    <row r="381" spans="1:13" x14ac:dyDescent="0.35">
      <c r="A381" t="s">
        <v>151</v>
      </c>
      <c r="B381">
        <v>741</v>
      </c>
      <c r="C381" t="s">
        <v>45</v>
      </c>
      <c r="D381" t="s">
        <v>46</v>
      </c>
      <c r="E381" t="s">
        <v>47</v>
      </c>
      <c r="F381" t="s">
        <v>48</v>
      </c>
      <c r="G381" t="s">
        <v>49</v>
      </c>
      <c r="H381">
        <v>0.41862917216311829</v>
      </c>
      <c r="I381" t="s">
        <v>156</v>
      </c>
      <c r="J381">
        <v>36</v>
      </c>
      <c r="K381">
        <v>4</v>
      </c>
      <c r="L381">
        <v>-3.84</v>
      </c>
      <c r="M381">
        <v>3.84</v>
      </c>
    </row>
    <row r="382" spans="1:13" x14ac:dyDescent="0.35">
      <c r="A382" t="s">
        <v>147</v>
      </c>
      <c r="B382">
        <v>729</v>
      </c>
      <c r="C382" t="s">
        <v>45</v>
      </c>
      <c r="D382" t="s">
        <v>46</v>
      </c>
      <c r="E382" t="s">
        <v>50</v>
      </c>
      <c r="F382" t="s">
        <v>51</v>
      </c>
      <c r="G382" t="s">
        <v>52</v>
      </c>
      <c r="H382">
        <v>0.41734074490903528</v>
      </c>
      <c r="I382" t="s">
        <v>156</v>
      </c>
      <c r="J382">
        <v>36</v>
      </c>
      <c r="K382">
        <v>4</v>
      </c>
      <c r="L382">
        <v>-3.84</v>
      </c>
      <c r="M382">
        <v>3.84</v>
      </c>
    </row>
    <row r="383" spans="1:13" x14ac:dyDescent="0.35">
      <c r="A383" t="s">
        <v>131</v>
      </c>
      <c r="B383">
        <v>729</v>
      </c>
      <c r="C383" t="s">
        <v>45</v>
      </c>
      <c r="D383" t="s">
        <v>46</v>
      </c>
      <c r="E383" t="s">
        <v>50</v>
      </c>
      <c r="F383" t="s">
        <v>51</v>
      </c>
      <c r="G383" t="s">
        <v>52</v>
      </c>
      <c r="H383">
        <v>0.41226949817277281</v>
      </c>
      <c r="I383" t="s">
        <v>156</v>
      </c>
      <c r="J383">
        <v>36</v>
      </c>
      <c r="K383">
        <v>4</v>
      </c>
      <c r="L383">
        <v>-3.84</v>
      </c>
      <c r="M383">
        <v>3.84</v>
      </c>
    </row>
    <row r="384" spans="1:13" x14ac:dyDescent="0.35">
      <c r="A384" t="s">
        <v>71</v>
      </c>
      <c r="B384">
        <v>724</v>
      </c>
      <c r="C384" t="s">
        <v>45</v>
      </c>
      <c r="D384" t="s">
        <v>58</v>
      </c>
      <c r="E384" t="s">
        <v>50</v>
      </c>
      <c r="F384" t="s">
        <v>59</v>
      </c>
      <c r="G384" t="s">
        <v>60</v>
      </c>
      <c r="H384">
        <v>0.41192216339161442</v>
      </c>
      <c r="I384" t="s">
        <v>156</v>
      </c>
      <c r="J384">
        <v>36</v>
      </c>
      <c r="K384">
        <v>4</v>
      </c>
      <c r="L384">
        <v>-3.84</v>
      </c>
      <c r="M384">
        <v>3.84</v>
      </c>
    </row>
    <row r="385" spans="1:13" x14ac:dyDescent="0.35">
      <c r="A385" t="s">
        <v>129</v>
      </c>
      <c r="B385">
        <v>117</v>
      </c>
      <c r="C385" t="s">
        <v>18</v>
      </c>
      <c r="E385" t="s">
        <v>19</v>
      </c>
      <c r="F385" t="s">
        <v>20</v>
      </c>
      <c r="G385" t="s">
        <v>21</v>
      </c>
      <c r="H385">
        <v>0.39663864751387767</v>
      </c>
      <c r="I385" t="s">
        <v>156</v>
      </c>
      <c r="J385">
        <v>36</v>
      </c>
      <c r="K385">
        <v>4</v>
      </c>
      <c r="L385">
        <v>-3.84</v>
      </c>
      <c r="M385">
        <v>3.84</v>
      </c>
    </row>
    <row r="386" spans="1:13" x14ac:dyDescent="0.35">
      <c r="A386" t="s">
        <v>141</v>
      </c>
      <c r="B386">
        <v>724</v>
      </c>
      <c r="C386" t="s">
        <v>45</v>
      </c>
      <c r="D386" t="s">
        <v>58</v>
      </c>
      <c r="E386" t="s">
        <v>50</v>
      </c>
      <c r="F386" t="s">
        <v>59</v>
      </c>
      <c r="G386" t="s">
        <v>60</v>
      </c>
      <c r="H386">
        <v>0.39525866980057789</v>
      </c>
      <c r="I386" t="s">
        <v>156</v>
      </c>
      <c r="J386">
        <v>36</v>
      </c>
      <c r="K386">
        <v>4</v>
      </c>
      <c r="L386">
        <v>-3.84</v>
      </c>
      <c r="M386">
        <v>3.84</v>
      </c>
    </row>
    <row r="387" spans="1:13" x14ac:dyDescent="0.35">
      <c r="A387" t="s">
        <v>142</v>
      </c>
      <c r="B387">
        <v>724</v>
      </c>
      <c r="C387" t="s">
        <v>45</v>
      </c>
      <c r="D387" t="s">
        <v>58</v>
      </c>
      <c r="E387" t="s">
        <v>50</v>
      </c>
      <c r="F387" t="s">
        <v>59</v>
      </c>
      <c r="G387" t="s">
        <v>60</v>
      </c>
      <c r="H387">
        <v>0.39327413552796919</v>
      </c>
      <c r="I387" t="s">
        <v>156</v>
      </c>
      <c r="J387">
        <v>36</v>
      </c>
      <c r="K387">
        <v>4</v>
      </c>
      <c r="L387">
        <v>-3.84</v>
      </c>
      <c r="M387">
        <v>3.84</v>
      </c>
    </row>
    <row r="388" spans="1:13" x14ac:dyDescent="0.35">
      <c r="A388" t="s">
        <v>89</v>
      </c>
      <c r="B388">
        <v>737</v>
      </c>
      <c r="C388" t="s">
        <v>45</v>
      </c>
      <c r="D388" t="s">
        <v>58</v>
      </c>
      <c r="E388" t="s">
        <v>47</v>
      </c>
      <c r="F388" t="s">
        <v>61</v>
      </c>
      <c r="G388" t="s">
        <v>62</v>
      </c>
      <c r="H388">
        <v>0.39173986981649261</v>
      </c>
      <c r="I388" t="s">
        <v>156</v>
      </c>
      <c r="J388">
        <v>36</v>
      </c>
      <c r="K388">
        <v>4</v>
      </c>
      <c r="L388">
        <v>-3.84</v>
      </c>
      <c r="M388">
        <v>3.84</v>
      </c>
    </row>
    <row r="389" spans="1:13" x14ac:dyDescent="0.35">
      <c r="A389" t="s">
        <v>121</v>
      </c>
      <c r="B389">
        <v>737</v>
      </c>
      <c r="C389" t="s">
        <v>45</v>
      </c>
      <c r="D389" t="s">
        <v>58</v>
      </c>
      <c r="E389" t="s">
        <v>47</v>
      </c>
      <c r="F389" t="s">
        <v>61</v>
      </c>
      <c r="G389" t="s">
        <v>62</v>
      </c>
      <c r="H389">
        <v>0.38964135942360628</v>
      </c>
      <c r="I389" t="s">
        <v>156</v>
      </c>
      <c r="J389">
        <v>36</v>
      </c>
      <c r="K389">
        <v>4</v>
      </c>
      <c r="L389">
        <v>-3.84</v>
      </c>
      <c r="M389">
        <v>3.84</v>
      </c>
    </row>
    <row r="390" spans="1:13" x14ac:dyDescent="0.35">
      <c r="A390" t="s">
        <v>116</v>
      </c>
      <c r="B390">
        <v>737</v>
      </c>
      <c r="C390" t="s">
        <v>45</v>
      </c>
      <c r="D390" t="s">
        <v>58</v>
      </c>
      <c r="E390" t="s">
        <v>47</v>
      </c>
      <c r="F390" t="s">
        <v>61</v>
      </c>
      <c r="G390" t="s">
        <v>62</v>
      </c>
      <c r="H390">
        <v>0.38947905573826669</v>
      </c>
      <c r="I390" t="s">
        <v>156</v>
      </c>
      <c r="J390">
        <v>36</v>
      </c>
      <c r="K390">
        <v>4</v>
      </c>
      <c r="L390">
        <v>-3.84</v>
      </c>
      <c r="M390">
        <v>3.84</v>
      </c>
    </row>
    <row r="391" spans="1:13" x14ac:dyDescent="0.35">
      <c r="A391" t="s">
        <v>99</v>
      </c>
      <c r="B391">
        <v>724</v>
      </c>
      <c r="C391" t="s">
        <v>45</v>
      </c>
      <c r="D391" t="s">
        <v>58</v>
      </c>
      <c r="E391" t="s">
        <v>50</v>
      </c>
      <c r="F391" t="s">
        <v>59</v>
      </c>
      <c r="G391" t="s">
        <v>60</v>
      </c>
      <c r="H391">
        <v>0.38919316153258687</v>
      </c>
      <c r="I391" t="s">
        <v>156</v>
      </c>
      <c r="J391">
        <v>36</v>
      </c>
      <c r="K391">
        <v>4</v>
      </c>
      <c r="L391">
        <v>-3.84</v>
      </c>
      <c r="M391">
        <v>3.84</v>
      </c>
    </row>
    <row r="392" spans="1:13" x14ac:dyDescent="0.35">
      <c r="A392" t="s">
        <v>86</v>
      </c>
      <c r="B392">
        <v>724</v>
      </c>
      <c r="C392" t="s">
        <v>45</v>
      </c>
      <c r="D392" t="s">
        <v>58</v>
      </c>
      <c r="E392" t="s">
        <v>50</v>
      </c>
      <c r="F392" t="s">
        <v>59</v>
      </c>
      <c r="G392" t="s">
        <v>60</v>
      </c>
      <c r="H392">
        <v>0.38851899744820001</v>
      </c>
      <c r="I392" t="s">
        <v>156</v>
      </c>
      <c r="J392">
        <v>36</v>
      </c>
      <c r="K392">
        <v>4</v>
      </c>
      <c r="L392">
        <v>-3.84</v>
      </c>
      <c r="M392">
        <v>3.84</v>
      </c>
    </row>
    <row r="393" spans="1:13" x14ac:dyDescent="0.35">
      <c r="A393" t="s">
        <v>151</v>
      </c>
      <c r="B393">
        <v>737</v>
      </c>
      <c r="C393" t="s">
        <v>45</v>
      </c>
      <c r="D393" t="s">
        <v>58</v>
      </c>
      <c r="E393" t="s">
        <v>47</v>
      </c>
      <c r="F393" t="s">
        <v>61</v>
      </c>
      <c r="G393" t="s">
        <v>62</v>
      </c>
      <c r="H393">
        <v>0.38748612682313871</v>
      </c>
      <c r="I393" t="s">
        <v>156</v>
      </c>
      <c r="J393">
        <v>36</v>
      </c>
      <c r="K393">
        <v>4</v>
      </c>
      <c r="L393">
        <v>-3.84</v>
      </c>
      <c r="M393">
        <v>3.84</v>
      </c>
    </row>
    <row r="394" spans="1:13" x14ac:dyDescent="0.35">
      <c r="A394" t="s">
        <v>35</v>
      </c>
      <c r="B394">
        <v>724</v>
      </c>
      <c r="C394" t="s">
        <v>45</v>
      </c>
      <c r="D394" t="s">
        <v>58</v>
      </c>
      <c r="E394" t="s">
        <v>50</v>
      </c>
      <c r="F394" t="s">
        <v>59</v>
      </c>
      <c r="G394" t="s">
        <v>60</v>
      </c>
      <c r="H394">
        <v>0.38570089808003077</v>
      </c>
      <c r="I394" t="s">
        <v>156</v>
      </c>
      <c r="J394">
        <v>36</v>
      </c>
      <c r="K394">
        <v>4</v>
      </c>
      <c r="L394">
        <v>-3.84</v>
      </c>
      <c r="M394">
        <v>3.84</v>
      </c>
    </row>
    <row r="395" spans="1:13" x14ac:dyDescent="0.35">
      <c r="A395" t="s">
        <v>77</v>
      </c>
      <c r="B395">
        <v>117</v>
      </c>
      <c r="C395" t="s">
        <v>18</v>
      </c>
      <c r="E395" t="s">
        <v>19</v>
      </c>
      <c r="F395" t="s">
        <v>20</v>
      </c>
      <c r="G395" t="s">
        <v>21</v>
      </c>
      <c r="H395">
        <v>0.3845283251337831</v>
      </c>
      <c r="I395" t="s">
        <v>156</v>
      </c>
      <c r="J395">
        <v>36</v>
      </c>
      <c r="K395">
        <v>4</v>
      </c>
      <c r="L395">
        <v>-3.84</v>
      </c>
      <c r="M395">
        <v>3.84</v>
      </c>
    </row>
    <row r="396" spans="1:13" x14ac:dyDescent="0.35">
      <c r="A396" t="s">
        <v>82</v>
      </c>
      <c r="B396">
        <v>724</v>
      </c>
      <c r="C396" t="s">
        <v>45</v>
      </c>
      <c r="D396" t="s">
        <v>58</v>
      </c>
      <c r="E396" t="s">
        <v>50</v>
      </c>
      <c r="F396" t="s">
        <v>59</v>
      </c>
      <c r="G396" t="s">
        <v>60</v>
      </c>
      <c r="H396">
        <v>0.38323761526967298</v>
      </c>
      <c r="I396" t="s">
        <v>156</v>
      </c>
      <c r="J396">
        <v>36</v>
      </c>
      <c r="K396">
        <v>4</v>
      </c>
      <c r="L396">
        <v>-3.84</v>
      </c>
      <c r="M396">
        <v>3.84</v>
      </c>
    </row>
    <row r="397" spans="1:13" x14ac:dyDescent="0.35">
      <c r="A397" t="s">
        <v>150</v>
      </c>
      <c r="B397">
        <v>117</v>
      </c>
      <c r="C397" t="s">
        <v>18</v>
      </c>
      <c r="E397" t="s">
        <v>19</v>
      </c>
      <c r="F397" t="s">
        <v>20</v>
      </c>
      <c r="G397" t="s">
        <v>21</v>
      </c>
      <c r="H397">
        <v>0.3798393562397665</v>
      </c>
      <c r="I397" t="s">
        <v>156</v>
      </c>
      <c r="J397">
        <v>36</v>
      </c>
      <c r="K397">
        <v>4</v>
      </c>
      <c r="L397">
        <v>-3.84</v>
      </c>
      <c r="M397">
        <v>3.84</v>
      </c>
    </row>
    <row r="398" spans="1:13" x14ac:dyDescent="0.35">
      <c r="A398" t="s">
        <v>143</v>
      </c>
      <c r="B398">
        <v>737</v>
      </c>
      <c r="C398" t="s">
        <v>45</v>
      </c>
      <c r="D398" t="s">
        <v>58</v>
      </c>
      <c r="E398" t="s">
        <v>47</v>
      </c>
      <c r="F398" t="s">
        <v>61</v>
      </c>
      <c r="G398" t="s">
        <v>62</v>
      </c>
      <c r="H398">
        <v>0.37947518668578589</v>
      </c>
      <c r="I398" t="s">
        <v>156</v>
      </c>
      <c r="J398">
        <v>36</v>
      </c>
      <c r="K398">
        <v>4</v>
      </c>
      <c r="L398">
        <v>-3.84</v>
      </c>
      <c r="M398">
        <v>3.84</v>
      </c>
    </row>
    <row r="399" spans="1:13" x14ac:dyDescent="0.35">
      <c r="A399" t="s">
        <v>118</v>
      </c>
      <c r="B399">
        <v>737</v>
      </c>
      <c r="C399" t="s">
        <v>45</v>
      </c>
      <c r="D399" t="s">
        <v>58</v>
      </c>
      <c r="E399" t="s">
        <v>47</v>
      </c>
      <c r="F399" t="s">
        <v>61</v>
      </c>
      <c r="G399" t="s">
        <v>62</v>
      </c>
      <c r="H399">
        <v>0.37551516200712959</v>
      </c>
      <c r="I399" t="s">
        <v>156</v>
      </c>
      <c r="J399">
        <v>36</v>
      </c>
      <c r="K399">
        <v>4</v>
      </c>
      <c r="L399">
        <v>-3.84</v>
      </c>
      <c r="M399">
        <v>3.84</v>
      </c>
    </row>
    <row r="400" spans="1:13" x14ac:dyDescent="0.35">
      <c r="A400" t="s">
        <v>132</v>
      </c>
      <c r="B400">
        <v>741</v>
      </c>
      <c r="C400" t="s">
        <v>45</v>
      </c>
      <c r="D400" t="s">
        <v>46</v>
      </c>
      <c r="E400" t="s">
        <v>47</v>
      </c>
      <c r="F400" t="s">
        <v>48</v>
      </c>
      <c r="G400" t="s">
        <v>49</v>
      </c>
      <c r="H400">
        <v>0.37543640046691529</v>
      </c>
      <c r="I400" t="s">
        <v>156</v>
      </c>
      <c r="J400">
        <v>36</v>
      </c>
      <c r="K400">
        <v>4</v>
      </c>
      <c r="L400">
        <v>-3.84</v>
      </c>
      <c r="M400">
        <v>3.84</v>
      </c>
    </row>
    <row r="401" spans="1:13" x14ac:dyDescent="0.35">
      <c r="A401" t="s">
        <v>106</v>
      </c>
      <c r="B401">
        <v>116</v>
      </c>
      <c r="C401" t="s">
        <v>18</v>
      </c>
      <c r="E401" t="s">
        <v>26</v>
      </c>
      <c r="F401" t="s">
        <v>27</v>
      </c>
      <c r="G401" t="s">
        <v>28</v>
      </c>
      <c r="H401">
        <v>0.37340349597326439</v>
      </c>
      <c r="I401" t="s">
        <v>156</v>
      </c>
      <c r="J401">
        <v>36</v>
      </c>
      <c r="K401">
        <v>4</v>
      </c>
      <c r="L401">
        <v>-3.84</v>
      </c>
      <c r="M401">
        <v>3.84</v>
      </c>
    </row>
    <row r="402" spans="1:13" x14ac:dyDescent="0.35">
      <c r="A402" t="s">
        <v>103</v>
      </c>
      <c r="B402">
        <v>737</v>
      </c>
      <c r="C402" t="s">
        <v>45</v>
      </c>
      <c r="D402" t="s">
        <v>58</v>
      </c>
      <c r="E402" t="s">
        <v>47</v>
      </c>
      <c r="F402" t="s">
        <v>61</v>
      </c>
      <c r="G402" t="s">
        <v>62</v>
      </c>
      <c r="H402">
        <v>0.37311639922530349</v>
      </c>
      <c r="I402" t="s">
        <v>156</v>
      </c>
      <c r="J402">
        <v>36</v>
      </c>
      <c r="K402">
        <v>4</v>
      </c>
      <c r="L402">
        <v>-3.84</v>
      </c>
      <c r="M402">
        <v>3.84</v>
      </c>
    </row>
    <row r="403" spans="1:13" x14ac:dyDescent="0.35">
      <c r="A403" t="s">
        <v>148</v>
      </c>
      <c r="B403">
        <v>737</v>
      </c>
      <c r="C403" t="s">
        <v>45</v>
      </c>
      <c r="D403" t="s">
        <v>58</v>
      </c>
      <c r="E403" t="s">
        <v>47</v>
      </c>
      <c r="F403" t="s">
        <v>61</v>
      </c>
      <c r="G403" t="s">
        <v>62</v>
      </c>
      <c r="H403">
        <v>0.36819909351199431</v>
      </c>
      <c r="I403" t="s">
        <v>156</v>
      </c>
      <c r="J403">
        <v>36</v>
      </c>
      <c r="K403">
        <v>4</v>
      </c>
      <c r="L403">
        <v>-3.84</v>
      </c>
      <c r="M403">
        <v>3.84</v>
      </c>
    </row>
    <row r="404" spans="1:13" x14ac:dyDescent="0.35">
      <c r="A404" t="s">
        <v>144</v>
      </c>
      <c r="B404">
        <v>741</v>
      </c>
      <c r="C404" t="s">
        <v>45</v>
      </c>
      <c r="D404" t="s">
        <v>46</v>
      </c>
      <c r="E404" t="s">
        <v>47</v>
      </c>
      <c r="F404" t="s">
        <v>48</v>
      </c>
      <c r="G404" t="s">
        <v>49</v>
      </c>
      <c r="H404">
        <v>0.36813128767975162</v>
      </c>
      <c r="I404" t="s">
        <v>156</v>
      </c>
      <c r="J404">
        <v>36</v>
      </c>
      <c r="K404">
        <v>4</v>
      </c>
      <c r="L404">
        <v>-3.84</v>
      </c>
      <c r="M404">
        <v>3.84</v>
      </c>
    </row>
    <row r="405" spans="1:13" x14ac:dyDescent="0.35">
      <c r="A405" t="s">
        <v>106</v>
      </c>
      <c r="B405">
        <v>724</v>
      </c>
      <c r="C405" t="s">
        <v>45</v>
      </c>
      <c r="D405" t="s">
        <v>58</v>
      </c>
      <c r="E405" t="s">
        <v>50</v>
      </c>
      <c r="F405" t="s">
        <v>59</v>
      </c>
      <c r="G405" t="s">
        <v>60</v>
      </c>
      <c r="H405">
        <v>0.36655094012125139</v>
      </c>
      <c r="I405" t="s">
        <v>156</v>
      </c>
      <c r="J405">
        <v>36</v>
      </c>
      <c r="K405">
        <v>4</v>
      </c>
      <c r="L405">
        <v>-3.84</v>
      </c>
      <c r="M405">
        <v>3.84</v>
      </c>
    </row>
    <row r="406" spans="1:13" x14ac:dyDescent="0.35">
      <c r="A406" t="s">
        <v>135</v>
      </c>
      <c r="B406">
        <v>737</v>
      </c>
      <c r="C406" t="s">
        <v>45</v>
      </c>
      <c r="D406" t="s">
        <v>58</v>
      </c>
      <c r="E406" t="s">
        <v>47</v>
      </c>
      <c r="F406" t="s">
        <v>61</v>
      </c>
      <c r="G406" t="s">
        <v>62</v>
      </c>
      <c r="H406">
        <v>0.36297431998116209</v>
      </c>
      <c r="I406" t="s">
        <v>156</v>
      </c>
      <c r="J406">
        <v>36</v>
      </c>
      <c r="K406">
        <v>4</v>
      </c>
      <c r="L406">
        <v>-3.84</v>
      </c>
      <c r="M406">
        <v>3.84</v>
      </c>
    </row>
    <row r="407" spans="1:13" x14ac:dyDescent="0.35">
      <c r="A407" t="s">
        <v>108</v>
      </c>
      <c r="B407">
        <v>741</v>
      </c>
      <c r="C407" t="s">
        <v>45</v>
      </c>
      <c r="D407" t="s">
        <v>46</v>
      </c>
      <c r="E407" t="s">
        <v>47</v>
      </c>
      <c r="F407" t="s">
        <v>48</v>
      </c>
      <c r="G407" t="s">
        <v>49</v>
      </c>
      <c r="H407">
        <v>0.36075075866800321</v>
      </c>
      <c r="I407" t="s">
        <v>156</v>
      </c>
      <c r="J407">
        <v>36</v>
      </c>
      <c r="K407">
        <v>4</v>
      </c>
      <c r="L407">
        <v>-3.84</v>
      </c>
      <c r="M407">
        <v>3.84</v>
      </c>
    </row>
    <row r="408" spans="1:13" x14ac:dyDescent="0.35">
      <c r="A408" t="s">
        <v>67</v>
      </c>
      <c r="B408">
        <v>116</v>
      </c>
      <c r="C408" t="s">
        <v>18</v>
      </c>
      <c r="E408" t="s">
        <v>26</v>
      </c>
      <c r="F408" t="s">
        <v>27</v>
      </c>
      <c r="G408" t="s">
        <v>28</v>
      </c>
      <c r="H408">
        <v>0.35792637183906711</v>
      </c>
      <c r="I408" t="s">
        <v>156</v>
      </c>
      <c r="J408">
        <v>36</v>
      </c>
      <c r="K408">
        <v>4</v>
      </c>
      <c r="L408">
        <v>-3.84</v>
      </c>
      <c r="M408">
        <v>3.84</v>
      </c>
    </row>
    <row r="409" spans="1:13" x14ac:dyDescent="0.35">
      <c r="A409" t="s">
        <v>100</v>
      </c>
      <c r="B409">
        <v>741</v>
      </c>
      <c r="C409" t="s">
        <v>45</v>
      </c>
      <c r="D409" t="s">
        <v>46</v>
      </c>
      <c r="E409" t="s">
        <v>47</v>
      </c>
      <c r="F409" t="s">
        <v>48</v>
      </c>
      <c r="G409" t="s">
        <v>49</v>
      </c>
      <c r="H409">
        <v>0.35499992804516428</v>
      </c>
      <c r="I409" t="s">
        <v>156</v>
      </c>
      <c r="J409">
        <v>36</v>
      </c>
      <c r="K409">
        <v>4</v>
      </c>
      <c r="L409">
        <v>-3.84</v>
      </c>
      <c r="M409">
        <v>3.84</v>
      </c>
    </row>
  </sheetData>
  <phoneticPr fontId="10" type="noConversion"/>
  <conditionalFormatting sqref="H2:H419">
    <cfRule type="colorScale" priority="1">
      <colorScale>
        <cfvo type="num" val="0.3"/>
        <cfvo type="num" val="0.65"/>
        <cfvo type="num" val="1"/>
        <color rgb="FFFDE0DD"/>
        <color rgb="FFC7E9C0"/>
        <color rgb="FF41AB5D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showGridLines="0" workbookViewId="0"/>
  </sheetViews>
  <sheetFormatPr defaultRowHeight="14.5" x14ac:dyDescent="0.35"/>
  <cols>
    <col min="1" max="1" width="42" customWidth="1"/>
    <col min="2" max="2" width="28" customWidth="1"/>
    <col min="3" max="3" width="4" customWidth="1"/>
    <col min="4" max="4" width="22" customWidth="1"/>
    <col min="5" max="6" width="14" customWidth="1"/>
    <col min="7" max="7" width="18" customWidth="1"/>
    <col min="8" max="8" width="14" customWidth="1"/>
    <col min="9" max="10" width="12" customWidth="1"/>
    <col min="11" max="13" width="14" customWidth="1"/>
  </cols>
  <sheetData>
    <row r="1" spans="1:13" ht="21" x14ac:dyDescent="0.5">
      <c r="A1" s="5" t="s">
        <v>157</v>
      </c>
    </row>
    <row r="2" spans="1:13" x14ac:dyDescent="0.35">
      <c r="A2" s="6" t="s">
        <v>158</v>
      </c>
    </row>
    <row r="4" spans="1:13" x14ac:dyDescent="0.35">
      <c r="A4" s="7" t="s">
        <v>159</v>
      </c>
      <c r="D4" s="7" t="s">
        <v>160</v>
      </c>
      <c r="G4" s="7" t="s">
        <v>161</v>
      </c>
    </row>
    <row r="5" spans="1:13" x14ac:dyDescent="0.35">
      <c r="A5" s="3" t="s">
        <v>162</v>
      </c>
      <c r="B5" s="8">
        <v>0.35</v>
      </c>
      <c r="D5" s="9" t="s">
        <v>163</v>
      </c>
      <c r="E5" s="10">
        <f>COUNTA(Raw_Data!A:A)-1</f>
        <v>408</v>
      </c>
      <c r="G5" s="9" t="s">
        <v>164</v>
      </c>
      <c r="H5" s="3">
        <f>COUNTIFS(Filtered_Data!H:H,"&gt;=0.35",Filtered_Data!H:H,"&lt;0.50")</f>
        <v>83</v>
      </c>
    </row>
    <row r="6" spans="1:13" x14ac:dyDescent="0.35">
      <c r="A6" s="3" t="s">
        <v>165</v>
      </c>
      <c r="B6" s="11" t="s">
        <v>166</v>
      </c>
      <c r="D6" s="9" t="s">
        <v>167</v>
      </c>
      <c r="E6" s="10">
        <f>COUNTA(Filtered_Data!A:A)-1</f>
        <v>408</v>
      </c>
      <c r="G6" s="9" t="s">
        <v>168</v>
      </c>
      <c r="H6" s="3">
        <f>COUNTIFS(Filtered_Data!H:H,"&gt;=0.50",Filtered_Data!H:H,"&lt;0.70")</f>
        <v>147</v>
      </c>
    </row>
    <row r="7" spans="1:13" x14ac:dyDescent="0.35">
      <c r="D7" s="9" t="s">
        <v>169</v>
      </c>
      <c r="E7" s="12">
        <f>E6/E5</f>
        <v>1</v>
      </c>
      <c r="G7" s="9" t="s">
        <v>170</v>
      </c>
      <c r="H7" s="3">
        <f>COUNTIFS(Filtered_Data!H:H,"&gt;=0.70",Filtered_Data!H:H,"&lt;0.90")</f>
        <v>147</v>
      </c>
    </row>
    <row r="8" spans="1:13" x14ac:dyDescent="0.35">
      <c r="D8" s="9" t="s">
        <v>171</v>
      </c>
      <c r="E8" s="10">
        <v>94</v>
      </c>
      <c r="G8" s="9" t="s">
        <v>172</v>
      </c>
      <c r="H8" s="3">
        <f>COUNTIFS(Filtered_Data!H:H,"&gt;=0.90")</f>
        <v>31</v>
      </c>
    </row>
    <row r="9" spans="1:13" x14ac:dyDescent="0.35">
      <c r="D9" s="9" t="s">
        <v>173</v>
      </c>
      <c r="E9" s="10">
        <v>6</v>
      </c>
    </row>
    <row r="10" spans="1:13" x14ac:dyDescent="0.35">
      <c r="D10" s="9" t="s">
        <v>174</v>
      </c>
      <c r="E10" s="13">
        <f>AVERAGE(Filtered_Data!H:H)</f>
        <v>0.65948652985811917</v>
      </c>
    </row>
    <row r="11" spans="1:13" x14ac:dyDescent="0.35">
      <c r="D11" s="9" t="s">
        <v>175</v>
      </c>
      <c r="E11" s="13">
        <f>MEDIAN(Filtered_Data!H:H)</f>
        <v>0.66151219777938519</v>
      </c>
    </row>
    <row r="12" spans="1:13" x14ac:dyDescent="0.35">
      <c r="D12" s="9" t="s">
        <v>176</v>
      </c>
      <c r="E12" s="13">
        <f>MAX(Filtered_Data!H:H)</f>
        <v>0.99535134977539996</v>
      </c>
    </row>
    <row r="15" spans="1:13" x14ac:dyDescent="0.35">
      <c r="A15" s="7" t="s">
        <v>177</v>
      </c>
      <c r="H15" s="7" t="s">
        <v>178</v>
      </c>
    </row>
    <row r="16" spans="1:13" x14ac:dyDescent="0.35">
      <c r="A16" s="14" t="s">
        <v>179</v>
      </c>
      <c r="B16" s="14" t="s">
        <v>180</v>
      </c>
      <c r="C16" s="14" t="s">
        <v>181</v>
      </c>
      <c r="D16" s="14" t="s">
        <v>174</v>
      </c>
      <c r="E16" s="14" t="s">
        <v>175</v>
      </c>
      <c r="F16" s="14" t="s">
        <v>176</v>
      </c>
      <c r="H16" s="14" t="s">
        <v>182</v>
      </c>
      <c r="I16" s="14" t="s">
        <v>180</v>
      </c>
      <c r="J16" s="14" t="s">
        <v>181</v>
      </c>
      <c r="K16" s="14" t="s">
        <v>174</v>
      </c>
      <c r="L16" s="14" t="s">
        <v>175</v>
      </c>
      <c r="M16" s="14" t="s">
        <v>176</v>
      </c>
    </row>
    <row r="17" spans="1:13" x14ac:dyDescent="0.35">
      <c r="A17" s="3" t="s">
        <v>18</v>
      </c>
      <c r="B17" s="2">
        <v>114</v>
      </c>
      <c r="C17" s="2">
        <v>64</v>
      </c>
      <c r="D17" s="4">
        <v>0.70849008313849404</v>
      </c>
      <c r="E17" s="4">
        <v>0.71948957117643009</v>
      </c>
      <c r="F17" s="4">
        <v>0.99535134977539996</v>
      </c>
      <c r="H17" s="3" t="s">
        <v>46</v>
      </c>
      <c r="I17" s="2">
        <v>155</v>
      </c>
      <c r="J17" s="2">
        <v>83</v>
      </c>
      <c r="K17" s="4">
        <v>0.6660324103304881</v>
      </c>
      <c r="L17" s="4">
        <v>0.68965088460460244</v>
      </c>
      <c r="M17" s="4">
        <v>0.95901727680344195</v>
      </c>
    </row>
    <row r="18" spans="1:13" x14ac:dyDescent="0.35">
      <c r="A18" s="3" t="s">
        <v>45</v>
      </c>
      <c r="B18" s="2">
        <v>304</v>
      </c>
      <c r="C18" s="2">
        <v>94</v>
      </c>
      <c r="D18" s="4">
        <v>0.63000457034134283</v>
      </c>
      <c r="E18" s="4">
        <v>0.64487218597843221</v>
      </c>
      <c r="F18" s="4">
        <v>0.95901727680344195</v>
      </c>
      <c r="H18" s="3" t="s">
        <v>58</v>
      </c>
      <c r="I18" s="2">
        <v>149</v>
      </c>
      <c r="J18" s="2">
        <v>83</v>
      </c>
      <c r="K18" s="4">
        <v>0.59252594484927879</v>
      </c>
      <c r="L18" s="4">
        <v>0.5725067825517467</v>
      </c>
      <c r="M18" s="4">
        <v>0.91715515969419359</v>
      </c>
    </row>
    <row r="22" spans="1:13" x14ac:dyDescent="0.35">
      <c r="A22" s="7" t="s">
        <v>183</v>
      </c>
    </row>
    <row r="23" spans="1:13" ht="34" customHeight="1" x14ac:dyDescent="0.35">
      <c r="A23" s="3" t="s">
        <v>184</v>
      </c>
    </row>
    <row r="24" spans="1:13" ht="34" customHeight="1" x14ac:dyDescent="0.35">
      <c r="A24" s="3" t="s">
        <v>185</v>
      </c>
    </row>
    <row r="25" spans="1:13" ht="34" customHeight="1" x14ac:dyDescent="0.35">
      <c r="A25" s="3" t="s">
        <v>186</v>
      </c>
    </row>
    <row r="26" spans="1:13" ht="34" customHeight="1" x14ac:dyDescent="0.35">
      <c r="A26" s="3" t="s">
        <v>187</v>
      </c>
    </row>
    <row r="27" spans="1:13" ht="34" customHeight="1" x14ac:dyDescent="0.35">
      <c r="A27" s="3" t="s">
        <v>188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showGridLines="0" workbookViewId="0"/>
  </sheetViews>
  <sheetFormatPr defaultRowHeight="14.5" x14ac:dyDescent="0.35"/>
  <cols>
    <col min="1" max="1" width="11" customWidth="1"/>
    <col min="2" max="2" width="52" customWidth="1"/>
    <col min="3" max="3" width="10" customWidth="1"/>
    <col min="4" max="5" width="12" customWidth="1"/>
    <col min="6" max="6" width="10" customWidth="1"/>
    <col min="7" max="8" width="14" customWidth="1"/>
    <col min="9" max="9" width="12" customWidth="1"/>
  </cols>
  <sheetData>
    <row r="1" spans="1:9" ht="21" x14ac:dyDescent="0.35">
      <c r="A1" s="15" t="s">
        <v>189</v>
      </c>
      <c r="B1" s="16"/>
      <c r="C1" s="16"/>
      <c r="D1" s="16"/>
      <c r="E1" s="16"/>
      <c r="F1" s="16"/>
      <c r="G1" s="16"/>
      <c r="H1" s="16"/>
      <c r="I1" s="16"/>
    </row>
    <row r="3" spans="1:9" x14ac:dyDescent="0.35">
      <c r="A3" s="14" t="s">
        <v>1</v>
      </c>
      <c r="B3" s="14" t="s">
        <v>5</v>
      </c>
      <c r="C3" s="14" t="s">
        <v>2</v>
      </c>
      <c r="D3" s="14" t="s">
        <v>3</v>
      </c>
      <c r="E3" s="14" t="s">
        <v>190</v>
      </c>
      <c r="F3" s="14" t="s">
        <v>191</v>
      </c>
      <c r="G3" s="14" t="s">
        <v>192</v>
      </c>
      <c r="H3" s="14" t="s">
        <v>193</v>
      </c>
      <c r="I3" s="14" t="s">
        <v>194</v>
      </c>
    </row>
    <row r="4" spans="1:9" x14ac:dyDescent="0.35">
      <c r="A4">
        <v>116</v>
      </c>
      <c r="B4" t="s">
        <v>27</v>
      </c>
      <c r="C4" t="s">
        <v>18</v>
      </c>
      <c r="E4">
        <v>54</v>
      </c>
      <c r="F4">
        <v>54</v>
      </c>
      <c r="G4">
        <v>0.72086512445527062</v>
      </c>
      <c r="H4">
        <v>0.73767962816967247</v>
      </c>
      <c r="I4">
        <v>0.98962209976548565</v>
      </c>
    </row>
    <row r="5" spans="1:9" x14ac:dyDescent="0.35">
      <c r="A5">
        <v>117</v>
      </c>
      <c r="B5" t="s">
        <v>20</v>
      </c>
      <c r="C5" t="s">
        <v>18</v>
      </c>
      <c r="E5">
        <v>59</v>
      </c>
      <c r="F5">
        <v>59</v>
      </c>
      <c r="G5">
        <v>0.70340909834364174</v>
      </c>
      <c r="H5">
        <v>0.6735638920521374</v>
      </c>
      <c r="I5">
        <v>0.99535134977539996</v>
      </c>
    </row>
    <row r="6" spans="1:9" x14ac:dyDescent="0.35">
      <c r="A6">
        <v>729</v>
      </c>
      <c r="B6" t="s">
        <v>51</v>
      </c>
      <c r="C6" t="s">
        <v>45</v>
      </c>
      <c r="D6" t="s">
        <v>46</v>
      </c>
      <c r="E6">
        <v>70</v>
      </c>
      <c r="F6">
        <v>70</v>
      </c>
      <c r="G6">
        <v>0.69055838487379051</v>
      </c>
      <c r="H6">
        <v>0.6982785928389903</v>
      </c>
      <c r="I6">
        <v>0.9533057133647902</v>
      </c>
    </row>
    <row r="7" spans="1:9" x14ac:dyDescent="0.35">
      <c r="A7">
        <v>741</v>
      </c>
      <c r="B7" t="s">
        <v>48</v>
      </c>
      <c r="C7" t="s">
        <v>45</v>
      </c>
      <c r="D7" t="s">
        <v>46</v>
      </c>
      <c r="E7">
        <v>79</v>
      </c>
      <c r="F7">
        <v>79</v>
      </c>
      <c r="G7">
        <v>0.67038949055872454</v>
      </c>
      <c r="H7">
        <v>0.69966632133441553</v>
      </c>
      <c r="I7">
        <v>0.95901727680344195</v>
      </c>
    </row>
    <row r="8" spans="1:9" x14ac:dyDescent="0.35">
      <c r="A8">
        <v>737</v>
      </c>
      <c r="B8" t="s">
        <v>61</v>
      </c>
      <c r="C8" t="s">
        <v>45</v>
      </c>
      <c r="D8" t="s">
        <v>58</v>
      </c>
      <c r="E8">
        <v>76</v>
      </c>
      <c r="F8">
        <v>76</v>
      </c>
      <c r="G8">
        <v>0.61686099505290182</v>
      </c>
      <c r="H8">
        <v>0.63685804039820604</v>
      </c>
      <c r="I8">
        <v>0.90754091278993521</v>
      </c>
    </row>
    <row r="9" spans="1:9" x14ac:dyDescent="0.35">
      <c r="A9">
        <v>724</v>
      </c>
      <c r="B9" t="s">
        <v>59</v>
      </c>
      <c r="C9" t="s">
        <v>45</v>
      </c>
      <c r="D9" t="s">
        <v>58</v>
      </c>
      <c r="E9">
        <v>70</v>
      </c>
      <c r="F9">
        <v>70</v>
      </c>
      <c r="G9">
        <v>0.57801940485611936</v>
      </c>
      <c r="H9">
        <v>0.55580396372290197</v>
      </c>
      <c r="I9">
        <v>0.91715515969419359</v>
      </c>
    </row>
  </sheetData>
  <phoneticPr fontId="10" type="noConversion"/>
  <conditionalFormatting sqref="G2:G9">
    <cfRule type="colorScale" priority="1">
      <colorScale>
        <cfvo type="num" val="0.3"/>
        <cfvo type="num" val="0.65"/>
        <cfvo type="num" val="1"/>
        <color rgb="FFFDE0DD"/>
        <color rgb="FFC7E9C0"/>
        <color rgb="FF41AB5D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showGridLines="0" workbookViewId="0"/>
  </sheetViews>
  <sheetFormatPr defaultRowHeight="14.5" x14ac:dyDescent="0.35"/>
  <cols>
    <col min="1" max="1" width="14" customWidth="1"/>
    <col min="2" max="2" width="10" customWidth="1"/>
    <col min="3" max="3" width="14" customWidth="1"/>
    <col min="4" max="4" width="12" customWidth="1"/>
  </cols>
  <sheetData>
    <row r="1" spans="1:4" ht="21" x14ac:dyDescent="0.35">
      <c r="A1" s="15" t="s">
        <v>195</v>
      </c>
      <c r="B1" s="16"/>
      <c r="C1" s="16"/>
      <c r="D1" s="16"/>
    </row>
    <row r="3" spans="1:4" x14ac:dyDescent="0.35">
      <c r="A3" s="14" t="s">
        <v>0</v>
      </c>
      <c r="B3" s="14" t="s">
        <v>196</v>
      </c>
      <c r="C3" s="14" t="s">
        <v>192</v>
      </c>
      <c r="D3" s="14" t="s">
        <v>194</v>
      </c>
    </row>
    <row r="4" spans="1:4" x14ac:dyDescent="0.35">
      <c r="A4" t="s">
        <v>38</v>
      </c>
      <c r="B4">
        <v>6</v>
      </c>
      <c r="C4">
        <v>0.88316328394355781</v>
      </c>
      <c r="D4">
        <v>0.96674585879111241</v>
      </c>
    </row>
    <row r="5" spans="1:4" x14ac:dyDescent="0.35">
      <c r="A5" t="s">
        <v>40</v>
      </c>
      <c r="B5">
        <v>6</v>
      </c>
      <c r="C5">
        <v>0.87176087645324241</v>
      </c>
      <c r="D5">
        <v>0.96579778523217885</v>
      </c>
    </row>
    <row r="6" spans="1:4" x14ac:dyDescent="0.35">
      <c r="A6" t="s">
        <v>42</v>
      </c>
      <c r="B6">
        <v>6</v>
      </c>
      <c r="C6">
        <v>0.86930503897842737</v>
      </c>
      <c r="D6">
        <v>0.96351329256061224</v>
      </c>
    </row>
    <row r="7" spans="1:4" x14ac:dyDescent="0.35">
      <c r="A7" t="s">
        <v>23</v>
      </c>
      <c r="B7">
        <v>6</v>
      </c>
      <c r="C7">
        <v>0.86768004914463015</v>
      </c>
      <c r="D7">
        <v>0.99376090966297603</v>
      </c>
    </row>
    <row r="8" spans="1:4" x14ac:dyDescent="0.35">
      <c r="A8" t="s">
        <v>44</v>
      </c>
      <c r="B8">
        <v>5</v>
      </c>
      <c r="C8">
        <v>0.86340311988674223</v>
      </c>
      <c r="D8">
        <v>0.95901727680344195</v>
      </c>
    </row>
    <row r="9" spans="1:4" x14ac:dyDescent="0.35">
      <c r="A9" t="s">
        <v>30</v>
      </c>
      <c r="B9">
        <v>6</v>
      </c>
      <c r="C9">
        <v>0.84116595661270954</v>
      </c>
      <c r="D9">
        <v>0.98737671167477759</v>
      </c>
    </row>
    <row r="10" spans="1:4" x14ac:dyDescent="0.35">
      <c r="A10" t="s">
        <v>79</v>
      </c>
      <c r="B10">
        <v>6</v>
      </c>
      <c r="C10">
        <v>0.81398801920521802</v>
      </c>
      <c r="D10">
        <v>0.85155026799044575</v>
      </c>
    </row>
    <row r="11" spans="1:4" x14ac:dyDescent="0.35">
      <c r="A11" t="s">
        <v>25</v>
      </c>
      <c r="B11">
        <v>6</v>
      </c>
      <c r="C11">
        <v>0.80472301598752516</v>
      </c>
      <c r="D11">
        <v>0.98962209976548565</v>
      </c>
    </row>
    <row r="12" spans="1:4" x14ac:dyDescent="0.35">
      <c r="A12" t="s">
        <v>17</v>
      </c>
      <c r="B12">
        <v>6</v>
      </c>
      <c r="C12">
        <v>0.80188722556275438</v>
      </c>
      <c r="D12">
        <v>0.99535134977539996</v>
      </c>
    </row>
    <row r="13" spans="1:4" x14ac:dyDescent="0.35">
      <c r="A13" t="s">
        <v>33</v>
      </c>
      <c r="B13">
        <v>6</v>
      </c>
      <c r="C13">
        <v>0.79469446759277995</v>
      </c>
      <c r="D13">
        <v>0.97711542123591444</v>
      </c>
    </row>
    <row r="14" spans="1:4" x14ac:dyDescent="0.35">
      <c r="A14" t="s">
        <v>35</v>
      </c>
      <c r="B14">
        <v>5</v>
      </c>
      <c r="C14">
        <v>0.79258801350187391</v>
      </c>
      <c r="D14">
        <v>0.976543128551701</v>
      </c>
    </row>
    <row r="15" spans="1:4" x14ac:dyDescent="0.35">
      <c r="A15" t="s">
        <v>78</v>
      </c>
      <c r="B15">
        <v>6</v>
      </c>
      <c r="C15">
        <v>0.78787663404624686</v>
      </c>
      <c r="D15">
        <v>0.86069668679985745</v>
      </c>
    </row>
    <row r="16" spans="1:4" x14ac:dyDescent="0.35">
      <c r="A16" t="s">
        <v>32</v>
      </c>
      <c r="B16">
        <v>6</v>
      </c>
      <c r="C16">
        <v>0.77015108768461593</v>
      </c>
      <c r="D16">
        <v>0.98714460987496921</v>
      </c>
    </row>
    <row r="17" spans="1:4" x14ac:dyDescent="0.35">
      <c r="A17" t="s">
        <v>36</v>
      </c>
      <c r="B17">
        <v>6</v>
      </c>
      <c r="C17">
        <v>0.76966191081451363</v>
      </c>
      <c r="D17">
        <v>0.97338570235250022</v>
      </c>
    </row>
    <row r="18" spans="1:4" x14ac:dyDescent="0.35">
      <c r="A18" t="s">
        <v>69</v>
      </c>
      <c r="B18">
        <v>4</v>
      </c>
      <c r="C18">
        <v>0.76116133282178944</v>
      </c>
      <c r="D18">
        <v>0.8755072260636475</v>
      </c>
    </row>
    <row r="19" spans="1:4" x14ac:dyDescent="0.35">
      <c r="A19" t="s">
        <v>68</v>
      </c>
      <c r="B19">
        <v>5</v>
      </c>
      <c r="C19">
        <v>0.75579997678880673</v>
      </c>
      <c r="D19">
        <v>0.87646846935620182</v>
      </c>
    </row>
    <row r="20" spans="1:4" x14ac:dyDescent="0.35">
      <c r="A20" t="s">
        <v>53</v>
      </c>
      <c r="B20">
        <v>6</v>
      </c>
      <c r="C20">
        <v>0.7490396720011655</v>
      </c>
      <c r="D20">
        <v>0.93578133841684419</v>
      </c>
    </row>
    <row r="21" spans="1:4" x14ac:dyDescent="0.35">
      <c r="A21" t="s">
        <v>54</v>
      </c>
      <c r="B21">
        <v>6</v>
      </c>
      <c r="C21">
        <v>0.73959236479577861</v>
      </c>
      <c r="D21">
        <v>0.92894418155701475</v>
      </c>
    </row>
    <row r="22" spans="1:4" x14ac:dyDescent="0.35">
      <c r="A22" t="s">
        <v>57</v>
      </c>
      <c r="B22">
        <v>4</v>
      </c>
      <c r="C22">
        <v>0.73506582726575598</v>
      </c>
      <c r="D22">
        <v>0.91715515969419359</v>
      </c>
    </row>
    <row r="23" spans="1:4" x14ac:dyDescent="0.35">
      <c r="A23" t="s">
        <v>81</v>
      </c>
      <c r="B23">
        <v>6</v>
      </c>
      <c r="C23">
        <v>0.73326713286172396</v>
      </c>
      <c r="D23">
        <v>0.83142462848189636</v>
      </c>
    </row>
  </sheetData>
  <phoneticPr fontId="10" type="noConversion"/>
  <conditionalFormatting sqref="C2:C23">
    <cfRule type="colorScale" priority="1">
      <colorScale>
        <cfvo type="num" val="0.3"/>
        <cfvo type="num" val="0.65"/>
        <cfvo type="num" val="1"/>
        <color rgb="FFFDE0DD"/>
        <color rgb="FFC7E9C0"/>
        <color rgb="FF41AB5D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showGridLines="0" workbookViewId="0"/>
  </sheetViews>
  <sheetFormatPr defaultRowHeight="14.5" x14ac:dyDescent="0.35"/>
  <cols>
    <col min="1" max="8" width="12" customWidth="1"/>
    <col min="9" max="9" width="4" customWidth="1"/>
    <col min="10" max="16" width="12" customWidth="1"/>
  </cols>
  <sheetData>
    <row r="1" spans="1:10" ht="21" x14ac:dyDescent="0.5">
      <c r="A1" s="5" t="s">
        <v>197</v>
      </c>
    </row>
    <row r="3" spans="1:10" x14ac:dyDescent="0.35">
      <c r="A3" s="17" t="s">
        <v>198</v>
      </c>
      <c r="J3" s="17" t="s">
        <v>199</v>
      </c>
    </row>
    <row r="25" spans="1:1" x14ac:dyDescent="0.35">
      <c r="A25" s="17" t="s">
        <v>200</v>
      </c>
    </row>
  </sheetData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Raw_Data</vt:lpstr>
      <vt:lpstr>Filtered_Data</vt:lpstr>
      <vt:lpstr>Overview</vt:lpstr>
      <vt:lpstr>Track_Summary</vt:lpstr>
      <vt:lpstr>Top_Genes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东旭 雷</cp:lastModifiedBy>
  <dcterms:created xsi:type="dcterms:W3CDTF">2026-03-31T20:07:10Z</dcterms:created>
  <dcterms:modified xsi:type="dcterms:W3CDTF">2026-03-31T20:09:19Z</dcterms:modified>
</cp:coreProperties>
</file>